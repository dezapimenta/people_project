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Page" sheetId="1" r:id="rId5"/>
    <sheet state="visible" name="Weekly" sheetId="2" r:id="rId6"/>
    <sheet state="hidden" name="POC" sheetId="3" r:id="rId7"/>
    <sheet state="hidden" name="Backlog System" sheetId="4" r:id="rId8"/>
    <sheet state="hidden" name="Painel Weekly" sheetId="5" r:id="rId9"/>
    <sheet state="hidden" name="Roadmap 2026" sheetId="6" r:id="rId10"/>
    <sheet state="visible" name="Cronogramas" sheetId="7" r:id="rId11"/>
    <sheet state="visible" name="Cronograma Projetos" sheetId="8" r:id="rId12"/>
    <sheet state="visible" name="Férias" sheetId="9" r:id="rId13"/>
    <sheet state="hidden" name="Painel Roadmap" sheetId="10" r:id="rId14"/>
    <sheet state="hidden" name="TeamGuide Crono" sheetId="11" r:id="rId15"/>
    <sheet state="visible" name="DataGOV" sheetId="12" r:id="rId16"/>
    <sheet state="hidden" name="Hist" sheetId="13" r:id="rId17"/>
    <sheet state="hidden" name="New DDL" sheetId="14" r:id="rId18"/>
  </sheets>
  <definedNames>
    <definedName hidden="1" localSheetId="0" name="_xlnm._FilterDatabase">'One Page'!$A$19:$AG$63</definedName>
    <definedName hidden="1" localSheetId="1" name="_xlnm._FilterDatabase">Weekly!$A$2:$AM$219</definedName>
    <definedName hidden="1" localSheetId="3" name="_xlnm._FilterDatabase">'Backlog System'!$A$2:$E$50</definedName>
    <definedName hidden="1" localSheetId="5" name="_xlnm._FilterDatabase">'Roadmap 2026'!$A$1:$I$25</definedName>
    <definedName hidden="1" localSheetId="6" name="_xlnm._FilterDatabase">Cronogramas!$A$2:$I$84</definedName>
    <definedName hidden="1" localSheetId="8" name="_xlnm._FilterDatabase">'Férias'!$B$5:$Y$13</definedName>
    <definedName hidden="1" localSheetId="11" name="_xlnm._FilterDatabase">DataGOV!$A$1:$L$75</definedName>
    <definedName hidden="1" localSheetId="12" name="_xlnm._FilterDatabase">Hist!$A$2:$S$218</definedName>
    <definedName hidden="1" localSheetId="1" name="Z_5200034C_7E85_4B11_8545_8C4484E94FC4_.wvu.FilterData">Weekly!$A$2:$AE$219</definedName>
    <definedName hidden="1" localSheetId="5" name="Z_5200034C_7E85_4B11_8545_8C4484E94FC4_.wvu.FilterData">'Roadmap 2026'!$B$1:$I$24</definedName>
    <definedName hidden="1" localSheetId="12" name="Z_5200034C_7E85_4B11_8545_8C4484E94FC4_.wvu.FilterData">Hist!$A$2:$L$218</definedName>
  </definedNames>
  <calcPr/>
  <customWorkbookViews>
    <customWorkbookView activeSheetId="0" maximized="1" windowHeight="0" windowWidth="0" guid="{5200034C-7E85-4B11-8545-8C4484E94FC4}" name="Thiag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tc={0b33bbe6-a2a0-4f70-aaae-8164163f85be}</author>
    <author>tc={0cb0358b-ff6e-496c-9395-d450eff72e69}</author>
    <author>tc={161bad0b-c2fa-415d-8c67-292304153993}</author>
    <author>tc={200ea182-3db3-4cea-8319-82b6f3ddb323}</author>
    <author>tc={32a07a25-10d7-4773-98a9-919c49a2e544}</author>
    <author>tc={3b54c1e8-3eb0-43e8-b216-9abbfcf2d577}</author>
    <author>tc={4a9da489-0d6f-4679-9b3e-6ce647fe8130}</author>
    <author>tc={4aa59934-13c0-4bf2-ab39-3ce524c8841c}</author>
    <author>tc={5abe95f5-0704-4942-9ca6-007d2a02e20d}</author>
    <author>tc={6b283497-1f5c-4ff3-ab8d-5ffd06151061}</author>
    <author>tc={737ba386-69e4-4f82-b063-087d73562c7b}</author>
    <author>tc={759afaed-9c33-4760-b68f-d9fcdf18cd94}</author>
    <author>tc={7f18ba40-7f6a-4232-8c86-ae31ca420521}</author>
    <author>tc={8c9a2648-975d-4df6-98fa-e5b8f1c6033b}</author>
    <author>tc={93058d43-42fe-45ef-aa00-797623598a7d}</author>
    <author>tc={b31dfd1e-3e06-40b6-918b-79059ee3fd6b}</author>
    <author>tc={c8a40d53-cde4-4e4c-82bd-a0bbe034f784}</author>
    <author>tc={d27055fa-3e4d-45ba-838d-0e1dba8eb521}</author>
    <author>tc={dd4447ce-50e6-4ec3-b487-f140d1ca11ad}</author>
    <author>tc={f228d594-c08a-422b-b3f6-12dace268f9f}</author>
    <author>tc={f3a9117d-5731-4355-83c2-96ce700d18cc}</author>
    <author>tc={fbaa56aa-b87e-4651-a4ba-8c988210cd97}</author>
  </authors>
  <commentList>
    <comment authorId="0" xr:uid="{0b33bbe6-a2a0-4f70-aaae-8164163f85be}" ref="R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@thiago.ppereira@neon.com.br conseguimos pelo log medir o quanto o agente está respondendo corretamente?
</t>
      </text>
    </comment>
    <comment authorId="1" xr:uid="{0cb0358b-ff6e-496c-9395-d450eff72e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@sabrina.mendes@neon.com.br realmente precisamos dessas colunas?
</t>
      </text>
    </comment>
    <comment authorId="2" xr:uid="{161bad0b-c2fa-415d-8c67-2923041539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Levar com o gui e derrubar pelo menos 2 temas na próxima semana do @thiago.ppereira@neon.com.br
</t>
      </text>
    </comment>
    <comment authorId="3" xr:uid="{200ea182-3db3-4cea-8319-82b6f3ddb323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@stephanie.calandrine@neon.com.br centralizei tudo aqui, pode usar essa como versão final
</t>
      </text>
    </comment>
    <comment authorId="4" xr:uid="{32a07a25-10d7-4773-98a9-919c49a2e5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Quantas pessoas tem no time da andreza? Ou a andreza é gestora de quantas pessoas?
</t>
      </text>
    </comment>
    <comment authorId="5" xr:uid="{3b54c1e8-3eb0-43e8-b216-9abbfcf2d577}" ref="Y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Tem uma agenda amanhã com a DIgAI do início dos testes. Como lá em cima seria legal deixar abertura de vagas e posições juntas, podemos colocar a @amanda.pimentel@neon.com.br com Tako e DigAI? O que acham?
</t>
      </text>
    </comment>
    <comment authorId="6" xr:uid="{4a9da489-0d6f-4679-9b3e-6ce647fe8130}" ref="Y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@camila.costa@neon.com.br ambos são temas que se conectam, abertura de vagas e abertura de posição,  seria legal deixar a mesma pessoa.
</t>
      </text>
    </comment>
    <comment authorId="7" xr:uid="{4aa59934-13c0-4bf2-ab39-3ce524c8841c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8,6 ou 86?
</t>
      </text>
    </comment>
    <comment authorId="8" xr:uid="{5abe95f5-0704-4942-9ca6-007d2a02e20d}" ref="F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@andreza.pimenta@neon.com.br faz sentido estar aqui?
Atribuído a andreza.pimenta@neon.com.br
Reply:
	Faz sim @sabrina.mendes@neon.com.br
</t>
      </text>
    </comment>
    <comment authorId="9" xr:uid="{6b283497-1f5c-4ff3-ab8d-5ffd061510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que vem começamos a pensar no crono, essa semana é só alinhamento técnico da API
</t>
      </text>
    </comment>
    <comment authorId="10" xr:uid="{737ba386-69e4-4f82-b063-087d73562c7b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@andreza.pimenta@neon.com.br oie! sera que vale incluir prazo e status? acho que fica mais facil pra gente acompanhar. O que acha?
@paula.jannini@neon.com.br comentou que esta planilha substituiria a que iniciei, se possivel, podemos incluir as pessoas ponto focais em BPs sobre os temas que tem interação direta com a gente? assim tb conseguimos fazer melhor gestao do tema
Reply:
	Podemos super @camila.costa@neon.com.br, falamos hoje na call de bps e vou deixar a coluna do responsável de HRBP em cada tema e conseguimos trocar os dias por datas se ficar melhor.
1 reação no total
Camila Pereira Costa reagiu com 👍: 2026-04-29 12:22 PM.
</t>
      </text>
    </comment>
    <comment authorId="11" xr:uid="{759afaed-9c33-4760-b68f-d9fcdf18cd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tem uma lógica, por exemplo.
quando for a minha linha eu não posso aparecer na coluna N4, falamos com calma depois @icaro.ribeiro@neon.com.br
</t>
      </text>
    </comment>
    <comment authorId="12" xr:uid="{7f18ba40-7f6a-4232-8c86-ae31ca4205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@sabrina.mendes@neon.com.br realmetne precisamos dessa coluna
</t>
      </text>
    </comment>
    <comment authorId="13" xr:uid="{8c9a2648-975d-4df6-98fa-e5b8f1c603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@andreza.pimenta@neon.com.br coloquei o módulo de offboarding da Team Guide aqui no Backlog. Mas não deveria ser priorizado junto com as outras implantações da Team Guide? pergunto por causa da descontinuidade da QR.
Atribuído a andreza.pimenta@neon.com.br
</t>
      </text>
    </comment>
    <comment authorId="14" xr:uid="{93058d43-42fe-45ef-aa00-797623598a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com Gui e Camis
</t>
      </text>
    </comment>
    <comment authorId="15" xr:uid="{b31dfd1e-3e06-40b6-918b-79059ee3fd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Conexão Neon
</t>
      </text>
    </comment>
    <comment authorId="16" xr:uid="{c8a40d53-cde4-4e4c-82bd-a0bbe034f7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Quando For COMEX na coluna nível_gestão_ds Traga Sim, ao contrário traga não
</t>
      </text>
    </comment>
    <comment authorId="17" xr:uid="{d27055fa-3e4d-45ba-838d-0e1dba8eb5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@carina.pinha@neon.com.br nesse primeiro momento sempre me vem na cabeça aderência ao People Platform, pensa em outro ponto?
Reply:
	A aderência para avaliar impacto e NPS para avaliar qualidade. O que acha?
Reply:
	Toop @carina.pinha@neon.com.br, faz sentido total
</t>
      </text>
    </comment>
    <comment authorId="18" xr:uid="{dd4447ce-50e6-4ec3-b487-f140d1ca11ad}" ref="Y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@camila.costa@neon.com.br, @camila.arita@neon.com.br @paula.jannini@neon.com.br @ligia.mayumi@neon.com.br @gustavo.zaluski@neon.com.br 
Deixei a coluna aqui para preenchimento
</t>
      </text>
    </comment>
    <comment authorId="19" xr:uid="{f228d594-c08a-422b-b3f6-12dace268f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tempo_casa_ds = 7; Onboarding 7
IF tempo_casa_ds &gt; 30; Pulso
IF tempo_casa_ds = 60; Onboarding 60
IF tempo_casa_ds = 90; Onboarding 90
Para gestor que possui colaborador com tempo de casa
IF tempo_casa_ds = 7; Hiring Manager 7
IF tempo_casa_ds = 90; Hiring Manager 90
</t>
      </text>
    </comment>
    <comment authorId="20" xr:uid="{f3a9117d-5731-4355-83c2-96ce700d18cc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@stephanie.calandrine@neon.com.br
</t>
      </text>
    </comment>
    <comment authorId="21" xr:uid="{fbaa56aa-b87e-4651-a4ba-8c988210cd97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@andreza.pimenta@neon.com.br aqui seria da Team Guide ou People Platform?
Atribuído a andreza.pimenta@neon.com.br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tc={036b4b47-02f0-4571-ba11-4da61f0e7103}</author>
    <author>tc={31c0457b-6ad6-45d4-a7c5-b9c08a96cd8f}</author>
    <author>tc={a300b4ad-f03d-44ae-9385-43774f79058d}</author>
    <author>tc={b6edba1f-8970-4185-b60f-62d354a09b79}</author>
    <author>tc={e62a08b1-5f3f-41e9-8d9a-2a7ed4b7ce06}</author>
  </authors>
  <commentList>
    <comment authorId="0" xr:uid="{036b4b47-02f0-4571-ba11-4da61f0e7103}" ref="B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também performance ou lógica trazer fechamento mensal e o dia atual.
1 reação no total
Thiago Lopes Pereira reagiu com 👍🏽: 2025-10-29 12:05 PM.
Reply:
	Trazer sempre a max data de cada mês, corrigir as dags atuais
1 reação no total
Thiago Lopes Pereira reagiu com 👍🏽: 2025-10-29 12:05 PM.
</t>
      </text>
    </comment>
    <comment authorId="1" xr:uid="{31c0457b-6ad6-45d4-a7c5-b9c08a96cd8f}" ref="B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@carina.pinha@neon.com.br temos algum update nesse tema?
</t>
      </text>
    </comment>
    <comment authorId="2" xr:uid="{a300b4ad-f03d-44ae-9385-43774f79058d}" ref="B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salva no drive, rotina atualização mensal ou semanal.
V1: Primeira versão do relatório.
</t>
      </text>
    </comment>
    <comment authorId="3" xr:uid="{b6edba1f-8970-4185-b60f-62d354a09b79}" ref="B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Tive uma call com o time de acessos e envio de máquina, precisamos além de enviar o lembrete no slack ter um relatório de quantas pessoas serão admitidas por janela de contrataçaõ.
Reply:
	@carina.pinha@neon.com.br
</t>
      </text>
    </comment>
    <comment authorId="4" xr:uid="{e62a08b1-5f3f-41e9-8d9a-2a7ed4b7ce06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Mapear também blocos de acessos e envio de máquinas @carina.pinha@neon.com.br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tc={31cb2b2e-2324-4e6e-88b7-43c72a98c4ec}</author>
    <author>tc={4eb63baa-a304-412d-8b2f-697ab967b2ac}</author>
    <author>tc={6401642d-90f0-4afc-9959-69dd5be8e548}</author>
  </authors>
  <commentList>
    <comment authorId="0" xr:uid="{31cb2b2e-2324-4e6e-88b7-43c72a98c4ec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quebrar temas
</t>
      </text>
    </comment>
    <comment authorId="1" xr:uid="{4eb63baa-a304-412d-8b2f-697ab967b2ac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Ramon e Jamil, promotores do tema
</t>
      </text>
    </comment>
    <comment authorId="2" xr:uid="{6401642d-90f0-4afc-9959-69dd5be8e548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Modelo de trabalho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tc={029d9fa9-5113-4ca8-a2fe-95a1fd1d6918}</author>
    <author>tc={0df94d53-7f57-4c17-bdbf-fdc9d3bb4796}</author>
    <author>tc={3675d3c8-dc0a-48fc-9e61-bfd5385a5825}</author>
    <author>tc={8c29d2c0-d827-4be1-a163-2ebc09b19627}</author>
  </authors>
  <commentList>
    <comment authorId="0" xr:uid="{029d9fa9-5113-4ca8-a2fe-95a1fd1d6918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@sabrina.mendes@neon.com.br aqui o crono ficou amplo, é legal sempre ter uma data incio e final bem marcada. Por exemplo: Segunda semana de abril?
</t>
      </text>
    </comment>
    <comment authorId="1" xr:uid="{0df94d53-7f57-4c17-bdbf-fdc9d3bb4796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@sabrina.mendes@neon.com.br aqui a mesma coisa
</t>
      </text>
    </comment>
    <comment authorId="2" xr:uid="{3675d3c8-dc0a-48fc-9e61-bfd5385a5825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Mudei aqui para lançar junto com o Líder hub
</t>
      </text>
    </comment>
    <comment authorId="3" xr:uid="{8c29d2c0-d827-4be1-a163-2ebc09b19627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@sabrina.mendes@neon.com.br muda o crono do DDL para o formato da aba cronograma, por favor? que padronizamos todos
</t>
      </text>
    </comment>
  </commentList>
</comments>
</file>

<file path=xl/sharedStrings.xml><?xml version="1.0" encoding="utf-8"?>
<sst xmlns="http://schemas.openxmlformats.org/spreadsheetml/2006/main" count="6306" uniqueCount="1076">
  <si>
    <t>KPIS Gerais</t>
  </si>
  <si>
    <t>Etapa</t>
  </si>
  <si>
    <t>KPI</t>
  </si>
  <si>
    <t>Baseline 
(2025)</t>
  </si>
  <si>
    <t>Target</t>
  </si>
  <si>
    <t>Abr</t>
  </si>
  <si>
    <t>Mai</t>
  </si>
  <si>
    <t>Jun</t>
  </si>
  <si>
    <t>Atração &amp; 
Recrutamento</t>
  </si>
  <si>
    <t>Capacity do time de TA [Total Vagas]</t>
  </si>
  <si>
    <t>Á definir</t>
  </si>
  <si>
    <t>Time to fill</t>
  </si>
  <si>
    <t>-</t>
  </si>
  <si>
    <t>Time to Hire</t>
  </si>
  <si>
    <t>Quality of hire [%]</t>
  </si>
  <si>
    <t>CSAT Etapas TA [unid]</t>
  </si>
  <si>
    <t>NPS do Candidato</t>
  </si>
  <si>
    <t>Custo por Contratação</t>
  </si>
  <si>
    <t>Carreira &amp;
 reconhecimento</t>
  </si>
  <si>
    <t>eNPS da Liderança</t>
  </si>
  <si>
    <t>Taxa de Adoção (MAU: Monthly Active Users) [%]</t>
  </si>
  <si>
    <t>N/A</t>
  </si>
  <si>
    <t>NPS Team Guide</t>
  </si>
  <si>
    <t>NA</t>
  </si>
  <si>
    <t>HRBP</t>
  </si>
  <si>
    <t>HRBP/HC [Taxa]</t>
  </si>
  <si>
    <t>1 | 121</t>
  </si>
  <si>
    <t>1 | 250</t>
  </si>
  <si>
    <t>Legenda</t>
  </si>
  <si>
    <t>Concluído</t>
  </si>
  <si>
    <t>Público Alvo</t>
  </si>
  <si>
    <t>Até Mai'25</t>
  </si>
  <si>
    <t>Impacto Indireto</t>
  </si>
  <si>
    <t>Após Mai'25</t>
  </si>
  <si>
    <t>Projetos Priorizados</t>
  </si>
  <si>
    <t>Métricas</t>
  </si>
  <si>
    <t>Time</t>
  </si>
  <si>
    <t>Público Impactado</t>
  </si>
  <si>
    <t>Agendas</t>
  </si>
  <si>
    <t>Jornada do Neowner</t>
  </si>
  <si>
    <t>Etapa Jornada do Neowner</t>
  </si>
  <si>
    <t>Projeto</t>
  </si>
  <si>
    <t>Descrição do Projeto</t>
  </si>
  <si>
    <t>Interface</t>
  </si>
  <si>
    <t>Tema</t>
  </si>
  <si>
    <t>Impacto</t>
  </si>
  <si>
    <t>Desenvolvimento: Data Final</t>
  </si>
  <si>
    <t>Testes People</t>
  </si>
  <si>
    <t>Go-to-Market: New Wave 1</t>
  </si>
  <si>
    <t>Go-to-Market: New Wave 2</t>
  </si>
  <si>
    <t>Métrica</t>
  </si>
  <si>
    <t>Descrição Métrica</t>
  </si>
  <si>
    <t>Baseline</t>
  </si>
  <si>
    <t>Jul</t>
  </si>
  <si>
    <t>Owner</t>
  </si>
  <si>
    <t>Co Owner</t>
  </si>
  <si>
    <t>Líder</t>
  </si>
  <si>
    <t>BP</t>
  </si>
  <si>
    <t>TA</t>
  </si>
  <si>
    <t>C&amp;TD</t>
  </si>
  <si>
    <t>TR</t>
  </si>
  <si>
    <t>Daily</t>
  </si>
  <si>
    <t>Weekly</t>
  </si>
  <si>
    <t>Atração</t>
  </si>
  <si>
    <t>1.Hunting</t>
  </si>
  <si>
    <t>Abertura de Vagas</t>
  </si>
  <si>
    <t>Otimização do processo de abertura de vagas via Slack, com foco na redução da carga operacional para Lideres, TA e HRBP. Implementação de automação integrando Lever, LG e Slack, garantindo a integridade dos dados críticos e a agilidade do fluxo</t>
  </si>
  <si>
    <t>Slack</t>
  </si>
  <si>
    <t>Abertura de Vaga</t>
  </si>
  <si>
    <t>Self-service operacional: Descentralização com foco na experiência do gestor.</t>
  </si>
  <si>
    <t>Desenvolvimento</t>
  </si>
  <si>
    <t>Lead Time</t>
  </si>
  <si>
    <t>Tempo no Processo de abertura da vaga pelo Gestor no Slack</t>
  </si>
  <si>
    <t>À definir</t>
  </si>
  <si>
    <t>Fernanda Nobre Granjo Lelli Almeida</t>
  </si>
  <si>
    <t>Rafael Nunes da Silva Baraccat</t>
  </si>
  <si>
    <t>Matheus Henrique Rocha</t>
  </si>
  <si>
    <t>Segunda</t>
  </si>
  <si>
    <t>11h</t>
  </si>
  <si>
    <t>CSAT</t>
  </si>
  <si>
    <t>Satisfação do Gestor com o novo processo de de abertura da Vaga no Slack</t>
  </si>
  <si>
    <t>3,6</t>
  </si>
  <si>
    <t>Redução de Campos de Preechimento [Qnt]</t>
  </si>
  <si>
    <t>Redução dos Campos de Preechimento Lever &gt; Slack</t>
  </si>
  <si>
    <t>27</t>
  </si>
  <si>
    <t>People Platform</t>
  </si>
  <si>
    <t>Criação de Posição</t>
  </si>
  <si>
    <t>Integridade de Dados: Conformidade e eliminação de erros via automação do processo.</t>
  </si>
  <si>
    <t>Lead Time [h/mês]</t>
  </si>
  <si>
    <t>Tempo no Processo de criação da posição na LG pelo HRBP</t>
  </si>
  <si>
    <t>2</t>
  </si>
  <si>
    <t>POC: Hunting Assistant Linkedin</t>
  </si>
  <si>
    <t>O LinkedIn Hiring Assistant e a Pesquisa Assistida automatizam o hunting ao criar vagas e buscar candidatos via IA, economizando mais de 4h por função. A ferramenta reduz em 62% a análise de perfis desnecessários, focando na pré-seleção cirúrgica de talentos qualificados. Através de linguagem natural, o agente identifica candidatos passivos com o melhor fit técnico e cultural para a posição.</t>
  </si>
  <si>
    <t>Linkedin</t>
  </si>
  <si>
    <t>Hunting Assistant</t>
  </si>
  <si>
    <t>Eficiência em Sourcing: Maximização da conversão do funil e redução do Time-to-Fill.</t>
  </si>
  <si>
    <t>Teste Interno</t>
  </si>
  <si>
    <t>Taxa de Conversão [%]</t>
  </si>
  <si>
    <t>Leads convertidos por Hiring Assistant / Total de Leads convertidos</t>
  </si>
  <si>
    <t>64</t>
  </si>
  <si>
    <t>Nicole Haviaras Dos Santos</t>
  </si>
  <si>
    <t>Andreza Cardoso Pimenta</t>
  </si>
  <si>
    <t>Taxa de Contratação [%]</t>
  </si>
  <si>
    <t>Contratados por Hiring Assistant / Total de Contratados</t>
  </si>
  <si>
    <t>3,4</t>
  </si>
  <si>
    <t>Usabilidade do linkedin hiring assistant</t>
  </si>
  <si>
    <t>Usabilidade do linkedin hiring assistant pelos recrutadores (por mês por recrutador)</t>
  </si>
  <si>
    <t>10</t>
  </si>
  <si>
    <t>2.Shortlist</t>
  </si>
  <si>
    <t>Farol de Vagas</t>
  </si>
  <si>
    <t>O Farol de Vagas automatiza o envio de insights e status para gestores via Slack e People Platform. Ele apresenta visualmente o funil de recrutamento e o volume de candidatos por etapa, eliminando o envio manual de relatórios e otimizando drasticamente a rotina do time de TA</t>
  </si>
  <si>
    <t>Visibility &amp; Ownership: Gestão transparente do progresso do recrutamento dando autonomia para o gestor.</t>
  </si>
  <si>
    <t>Taxa de Adoção [%]</t>
  </si>
  <si>
    <t>% de Líderes que usam a nova ferramenta</t>
  </si>
  <si>
    <t>Gustavo Zaluski Camila Erika Arita</t>
  </si>
  <si>
    <t>Satisfação do Gestor com a ferramenta</t>
  </si>
  <si>
    <t>3.Entrevista</t>
  </si>
  <si>
    <t>Parecer de Entrevista</t>
  </si>
  <si>
    <t>O Parecer de Entrevista utiliza IA para guiar o gestor de forma intuitiva, sugerindo perguntas estratégicas e gerando um score de desempenho ao final da conversa. Além de otimizar a condução da entrevista, a ferramenta oferece insights precisos para que o gestor preencha o parecer final com mais facilidade e assertividade.</t>
  </si>
  <si>
    <t>Automação Parecer de entrevista</t>
  </si>
  <si>
    <t>Padronização de Seleção: Geração de score imparcial para entrevista e candidato avaliado</t>
  </si>
  <si>
    <t>Score Candidato [%]</t>
  </si>
  <si>
    <t>Mede a qualidade do candidato (recomendações dos entrevistadores, consenso entre etapas, scores de competências 1-5)</t>
  </si>
  <si>
    <t>Martha Lorena Silva Souza</t>
  </si>
  <si>
    <t>Ligia Mayumi Hasimoto Shimizu</t>
  </si>
  <si>
    <t>Efetividade por entrevistador [%]</t>
  </si>
  <si>
    <t>pipeline_quality_score médio por avaliador, para identificar onde o preenchimento de pareceres está mais fraco</t>
  </si>
  <si>
    <t>POC: Entrevistas com IA</t>
  </si>
  <si>
    <t>As Ferramentas de Entrevista com IA potencializam a pré-seleção ao analisar perfis com alta velocidade e precisão. O sistema gera automaticamente um score de aderência entre o candidato e a job description, garantindo que apenas os talentos mais qualificados avancem no processo.</t>
  </si>
  <si>
    <t>Lever</t>
  </si>
  <si>
    <t>POC: Tako</t>
  </si>
  <si>
    <t>Aceleração de Funil: Redução de latência nas etapas críticas de avaliação de candidatos.</t>
  </si>
  <si>
    <t>Taxa de Conversão Screening &gt; Stage 2[%]</t>
  </si>
  <si>
    <t>Taxa de Conversão Screening &gt; Stage 2 (IA x Humano)</t>
  </si>
  <si>
    <t>51,3</t>
  </si>
  <si>
    <t>Sexta</t>
  </si>
  <si>
    <t>16h</t>
  </si>
  <si>
    <t>Taxa de Precisão [%]</t>
  </si>
  <si>
    <t>Volume de candidatos Stage 2 que chegaram ao final do processo</t>
  </si>
  <si>
    <t>27%</t>
  </si>
  <si>
    <t>35¨%</t>
  </si>
  <si>
    <t>Tempo Médio de Permanência na Etapa de Screening [horas]</t>
  </si>
  <si>
    <t>Tempo Médio de Permanência na Etapa de Screening</t>
  </si>
  <si>
    <t>151,2</t>
  </si>
  <si>
    <t>Taxa de contratação de pessoas diversas [%]</t>
  </si>
  <si>
    <t>Contratados com recorte de diversidade (Mulher ou Preta/Parda ou PCD)/Total de Contratados</t>
  </si>
  <si>
    <t>65</t>
  </si>
  <si>
    <t>POC: DigAI</t>
  </si>
  <si>
    <t>Taxa de conversão Triagem &gt; Entrevista c/ Gestor (IA x Humano)</t>
  </si>
  <si>
    <t>Tempo Médio de Permanência na Etapa de Entrevista [horas]</t>
  </si>
  <si>
    <t>Tempo Médio de Permanência na Etapa de Entrevista</t>
  </si>
  <si>
    <t>Automação de Agendas de Entrevistas</t>
  </si>
  <si>
    <t>O Agendador Inteligente elimina conflitos de horários ao identificar automaticamente os melhores intervalos para entrevistas entre gestores e candidatos. Com reserva direta e notificações instantâneas, a ferramenta garante agilidade ao processo e libera o time de Talent Acquisition da carga operacional de agendamentos manuais.</t>
  </si>
  <si>
    <t>Google Calendar e Slack</t>
  </si>
  <si>
    <t>Automação Agendas (Esteira)</t>
  </si>
  <si>
    <t>Excelência Operacional em TA: Redução de horas operacionais em agendamento de entrevista via automação da logística.</t>
  </si>
  <si>
    <t>Go Live (Onda 1)</t>
  </si>
  <si>
    <t>Tempo no agendamento de candidatos pela recrutadora</t>
  </si>
  <si>
    <t>140</t>
  </si>
  <si>
    <t>Amanda Komuta</t>
  </si>
  <si>
    <t>Amanda Pimentel Coimbra</t>
  </si>
  <si>
    <t>Terça</t>
  </si>
  <si>
    <t>Automação Agendas (Sem Esteira)</t>
  </si>
  <si>
    <t>Recrutamento</t>
  </si>
  <si>
    <t>5.Offer</t>
  </si>
  <si>
    <t>Simulação de Offer</t>
  </si>
  <si>
    <t>O Gerador de Propostas Inteligente automatiza a criação de offers com base em dados internos, como pretensão salarial, equidade entre pares e tabelas de cargos. O sistema acelera o envio da proposta final e conta com um fluxo de governança que notifica os times de TA e TR sobre casos outliers, garantindo agilidade e segurança orçamentária.</t>
  </si>
  <si>
    <t>Simulador de Offer 2.0</t>
  </si>
  <si>
    <t>Previsibilidade Financeira: Agilidade na composição de propostas com automação de processos críticos</t>
  </si>
  <si>
    <t>Tempo no processo da Offer</t>
  </si>
  <si>
    <t>80</t>
  </si>
  <si>
    <t>Sabrina Mendes</t>
  </si>
  <si>
    <t>Andressa Vitoria Lopes de Oliveira</t>
  </si>
  <si>
    <t>Quarta</t>
  </si>
  <si>
    <t>14h</t>
  </si>
  <si>
    <t>Carreira</t>
  </si>
  <si>
    <t>13.Gestão de estrutura</t>
  </si>
  <si>
    <t>Movimentações</t>
  </si>
  <si>
    <t>O Módulo de Movimentações simplifica a gestão do organograma e garante máxima eficiência em processos críticos, como a alteração de centros de custo e empresa. A solução mitiga falhas operacionais e riscos de conformidade, substituindo o atual fluxo manual por um processo automatizado e seguro.</t>
  </si>
  <si>
    <t>Líder Hub</t>
  </si>
  <si>
    <t>Empoderamento do Líder: Decisões baseadas em dados (Data-Driven) e processos.</t>
  </si>
  <si>
    <t>Go Live (Onda 2)</t>
  </si>
  <si>
    <t>Taxa de Adoção (WAU: Weekly Active Users) [%]</t>
  </si>
  <si>
    <t>% líderes que acessam o Líder Hub pelo menos uma vez por semana</t>
  </si>
  <si>
    <t>Carina Jorge Pinha</t>
  </si>
  <si>
    <t>Paula Jannini</t>
  </si>
  <si>
    <t>Camila Pereira Costa Paula Jannini</t>
  </si>
  <si>
    <t>Quinta</t>
  </si>
  <si>
    <t>17h</t>
  </si>
  <si>
    <t>Movimentação Hierarquica</t>
  </si>
  <si>
    <t>Agilidade Organizacional: Flexibilidade na gestão de estruturas sem dependência operacional de People.</t>
  </si>
  <si>
    <t>Tempo no processo de Movimentação Hierarquica no Líder Hub</t>
  </si>
  <si>
    <t>25</t>
  </si>
  <si>
    <t>Brenda Ribeiro de Melo Oliveira</t>
  </si>
  <si>
    <t>Camila das Neves Balan</t>
  </si>
  <si>
    <t>Taxa de Sucesso [%]</t>
  </si>
  <si>
    <t>Movimentações concluídas com sucesso/Movimentações feitas</t>
  </si>
  <si>
    <t>Movimentação Ágil</t>
  </si>
  <si>
    <t>Movimentação Centro de Custo</t>
  </si>
  <si>
    <t>Gabriela Eloi do Amaral</t>
  </si>
  <si>
    <t>Movimentação Empresa</t>
  </si>
  <si>
    <t>Taxa de Redução de Erros [%]</t>
  </si>
  <si>
    <t>Colaboradores alocados em empresas erradas/total de colaboradores</t>
  </si>
  <si>
    <t>People Agent</t>
  </si>
  <si>
    <t>O People Agent atuará como o braço direito do time de People e das lideranças Neon, simplificando o consumo de dados e as análises de People Analytics. A ferramenta funcionará como um hub central de conhecimento, fornecendo insumos críticos sobre processos, jornadas da liderança, onboarding e temas essenciais de Gente e Gestão.</t>
  </si>
  <si>
    <t>Agente de IA: Dados de People</t>
  </si>
  <si>
    <t>Otimização do acesso a dados de People: Autonomia no suporte a liderança e redução de chamados repetitivos.</t>
  </si>
  <si>
    <t>% líderes que acessam o Agente pelo menos uma vez por semana</t>
  </si>
  <si>
    <t>Thiago Lopes Pereira</t>
  </si>
  <si>
    <t>Agente de IA: Dados de Budget</t>
  </si>
  <si>
    <t>Agente de IA: FAQ</t>
  </si>
  <si>
    <t>Dashboard Líder</t>
  </si>
  <si>
    <t>O New DDL (Dashboard da Liderança) chega em uma nova versão focada em storytelling de dados, transformando métricas complexas em narrativas claras para apoiar a tomada de decisão. A grande evolução está na frequência de dados: o reporte deixa de ser mensal para se tornar diário, garantindo uma visão em tempo real para ações muito mais ágeis.</t>
  </si>
  <si>
    <t>New DDL</t>
  </si>
  <si>
    <t>Democratização de Dados: Acesso seguro a indicadores estratégicos de People.</t>
  </si>
  <si>
    <t>% líderes que acessam o DDL pelo menos uma vez por mês</t>
  </si>
  <si>
    <t>14.Gestão de Talentos</t>
  </si>
  <si>
    <t>Implantação Teamguide</t>
  </si>
  <si>
    <t>A implementação da TeamGuide centraliza os pilares de treinamento, pesquisa, carreira, performance e skills em uma plataforma única e modular. Com o suporte de IA e integração nativa entre todos os módulos, a ferramenta automatiza processos antes manuais, garantindo a atualização de dados em tempo real e o envio estratégico de alertas via Slack.</t>
  </si>
  <si>
    <t>Teamguide: Módulo de Perfomance</t>
  </si>
  <si>
    <t>Carreira: jornada da GT em tempo real guiada por dados.</t>
  </si>
  <si>
    <t>Lead Time GT [h/mês]</t>
  </si>
  <si>
    <t>Tempo do processo da GT</t>
  </si>
  <si>
    <t>505,07</t>
  </si>
  <si>
    <t>Gabriela Gonçales</t>
  </si>
  <si>
    <t>Centralização do processo da GT [%]</t>
  </si>
  <si>
    <t>Processo da GT rodando dentro da plataforma</t>
  </si>
  <si>
    <t>20</t>
  </si>
  <si>
    <t>Teamguide: Módulo de Skills</t>
  </si>
  <si>
    <t>Talent Mapping: Inventário de competências para alocação estratégica de capital humano.</t>
  </si>
  <si>
    <t>Taxa de Cargos com Skills mapeados [%]</t>
  </si>
  <si>
    <t xml:space="preserve">% de cargos (Tecnologia?) com o mapeamento de skills concluído </t>
  </si>
  <si>
    <t>Julia Longo de Faria</t>
  </si>
  <si>
    <t>Taxa de Colaboradores com Skills mapeados [%]</t>
  </si>
  <si>
    <t xml:space="preserve">% de colaboradores (definir publico) com o mapeamento de skills concluído </t>
  </si>
  <si>
    <t>14.Plano de desenvolvimento</t>
  </si>
  <si>
    <t>Teamguide: Módulo de Treinamento</t>
  </si>
  <si>
    <t>Upskilling com IA: Personalização do aprendizado via IA integrada ao fluxo de carreira</t>
  </si>
  <si>
    <t>Taxa de conclusão de treinamentos obrigatórios [%]</t>
  </si>
  <si>
    <t>% de colaboradores com treinamentos obrigatórios concluídos</t>
  </si>
  <si>
    <t>100%</t>
  </si>
  <si>
    <t>Camila Pereira Costa</t>
  </si>
  <si>
    <t>Taxa de conclusão de treinamentos gerais [%]</t>
  </si>
  <si>
    <t>% de colaboradores com treinamentos de onboarding concluídos</t>
  </si>
  <si>
    <t>45%</t>
  </si>
  <si>
    <t>Taxa de Incidência de Bugs [%]</t>
  </si>
  <si>
    <t>Volume de tickets abertos no módulo de treinamento</t>
  </si>
  <si>
    <t>35</t>
  </si>
  <si>
    <t>18.Pesquisa</t>
  </si>
  <si>
    <t>Teamguide: Módulo de Pesquisa</t>
  </si>
  <si>
    <t>Sentiment Analysis em Real-time: Dashboards dinâmicos para gestão proativa de clima e cultura.</t>
  </si>
  <si>
    <t>Taxa de Adesão pesquisa Onboarding [%]</t>
  </si>
  <si>
    <t>Adesão à pesquisas de Onboarding na plataforma</t>
  </si>
  <si>
    <t>38</t>
  </si>
  <si>
    <t>Luiza Carlos e Castro Santos</t>
  </si>
  <si>
    <t>Camila Erika Arita</t>
  </si>
  <si>
    <t>Taxa de Adesão pesquisa Hiring Manager [%]</t>
  </si>
  <si>
    <t>Adesão à pesquisas de Hiring Manager na plataforma</t>
  </si>
  <si>
    <t>24</t>
  </si>
  <si>
    <t>Taxa de Adesão pesquisa de Clima [%]</t>
  </si>
  <si>
    <t>Adesão à pesquisas de clima na plataforma</t>
  </si>
  <si>
    <t>68</t>
  </si>
  <si>
    <t>% líderes que acessam o Dashboard da Pesquisa de Clima pelo menos uma vez por mês</t>
  </si>
  <si>
    <t>Backlog</t>
  </si>
  <si>
    <t>Task</t>
  </si>
  <si>
    <t>Solicitante</t>
  </si>
  <si>
    <t>Prioridade</t>
  </si>
  <si>
    <t>Apuração Oficial P4P 2025</t>
  </si>
  <si>
    <t>Think</t>
  </si>
  <si>
    <t>TBD</t>
  </si>
  <si>
    <t>Sistematização cartinhas P4P</t>
  </si>
  <si>
    <t>Movimentações Salarias</t>
  </si>
  <si>
    <t>Google agendas: Envio de placeholder [feriados, treinamentos obrigatório, calendário neon etc]</t>
  </si>
  <si>
    <t>Gabriela Oliveira</t>
  </si>
  <si>
    <t>Calculadora Forecast</t>
  </si>
  <si>
    <t>Flow Budget Realocation</t>
  </si>
  <si>
    <t>Automação de Reports Mensais de People Analytics e alerta AuditData</t>
  </si>
  <si>
    <t>Validador de Elegibilidade de Bônus e Benefícios</t>
  </si>
  <si>
    <t>Lembretes de Avaliação de Desempenho</t>
  </si>
  <si>
    <t>Notitificação tempo de Casa e vencimento de férias</t>
  </si>
  <si>
    <t>Rituais L6+</t>
  </si>
  <si>
    <t>Jun'25</t>
  </si>
  <si>
    <t>Automação no envio de agendas</t>
  </si>
  <si>
    <t>Dúvidas novos neowners</t>
  </si>
  <si>
    <t>Solicitação de equipamentos</t>
  </si>
  <si>
    <t>Gestão de Acessos conforme Perifl</t>
  </si>
  <si>
    <t>Executive View - Payroll &amp; Resource Allocation</t>
  </si>
  <si>
    <t>Comp Cycle: Bases de cálculo</t>
  </si>
  <si>
    <t xml:space="preserve">Hiring Committee: Automação </t>
  </si>
  <si>
    <t>Willian Santos Souza</t>
  </si>
  <si>
    <t>Gestão de Talentos: Validação de hierarquia e estrutura para avaliadores + criação de salas de calibração</t>
  </si>
  <si>
    <t>Jul'25</t>
  </si>
  <si>
    <t>Gestão de Talentos: Consulta histórica de resultados de avaliação de performance</t>
  </si>
  <si>
    <t>Pesquisas: Organização dos dados de engajamento por área/por liderança com visão comparativa</t>
  </si>
  <si>
    <t>Envio de modelo de carta e prazos + orientações de homologação</t>
  </si>
  <si>
    <t>Indica que vai</t>
  </si>
  <si>
    <t>decola</t>
  </si>
  <si>
    <t>Módulo de onboarding</t>
  </si>
  <si>
    <t>Keyse Terzi</t>
  </si>
  <si>
    <t>Weekly PATH</t>
  </si>
  <si>
    <t>Ago</t>
  </si>
  <si>
    <t>Set</t>
  </si>
  <si>
    <t>Out</t>
  </si>
  <si>
    <t>Nov</t>
  </si>
  <si>
    <t>Dez</t>
  </si>
  <si>
    <t>Jan</t>
  </si>
  <si>
    <t>Fev</t>
  </si>
  <si>
    <t>Mar</t>
  </si>
  <si>
    <t>Frente</t>
  </si>
  <si>
    <t>Status</t>
  </si>
  <si>
    <t>Esforço</t>
  </si>
  <si>
    <t>S3</t>
  </si>
  <si>
    <t>S4</t>
  </si>
  <si>
    <t>S1</t>
  </si>
  <si>
    <t>S2</t>
  </si>
  <si>
    <t>S5</t>
  </si>
  <si>
    <t>API People</t>
  </si>
  <si>
    <t>Integração API People &lt;&gt; People Allocation</t>
  </si>
  <si>
    <t>Escobar</t>
  </si>
  <si>
    <t>Done</t>
  </si>
  <si>
    <t>Baixo</t>
  </si>
  <si>
    <t>x</t>
  </si>
  <si>
    <t>Evolução API People e próximos passos</t>
  </si>
  <si>
    <t>Icaro</t>
  </si>
  <si>
    <t>Alto</t>
  </si>
  <si>
    <t>Estrágia API People &lt;&gt; Sistemas</t>
  </si>
  <si>
    <t>Médio</t>
  </si>
  <si>
    <t>Integração API People &lt;&gt; Github</t>
  </si>
  <si>
    <t>Integração API People &lt;&gt; AD</t>
  </si>
  <si>
    <t>Integração API People &lt;&gt; Jumpcloud</t>
  </si>
  <si>
    <t>Integração API People &lt;&gt; Service Now</t>
  </si>
  <si>
    <t>API QR</t>
  </si>
  <si>
    <t>Mapemento dados QR</t>
  </si>
  <si>
    <t>Deza</t>
  </si>
  <si>
    <t>Camis &lt;&gt; Team Guide</t>
  </si>
  <si>
    <t>Desenvolvimento API QR Pesquisa</t>
  </si>
  <si>
    <t>Agendamento de entrevista: Tech e Crédito</t>
  </si>
  <si>
    <t>AuditData</t>
  </si>
  <si>
    <t>Cadastrar Especialidade</t>
  </si>
  <si>
    <t>Ca</t>
  </si>
  <si>
    <t>Comunicação Atualização Diária</t>
  </si>
  <si>
    <t>Thi</t>
  </si>
  <si>
    <t>APP Neon</t>
  </si>
  <si>
    <t>APP Neon: View CPF</t>
  </si>
  <si>
    <t>Alinhamento TR sobre (Empresas, Relatório Ferias e relatório P4P)</t>
  </si>
  <si>
    <t>Atualização Quinzenal</t>
  </si>
  <si>
    <t>Atualização Mensal (Lembrete KT e Avalição GT)</t>
  </si>
  <si>
    <t>Estrutura Funcional</t>
  </si>
  <si>
    <t>Canal PAS</t>
  </si>
  <si>
    <t>SSOT e Position Management diária</t>
  </si>
  <si>
    <t>Estrágia e próximos passos</t>
  </si>
  <si>
    <t>Duplicação UO</t>
  </si>
  <si>
    <t>AutomaTIME</t>
  </si>
  <si>
    <t>Fechamento Mensal</t>
  </si>
  <si>
    <t>Abrir novo workspace_neon</t>
  </si>
  <si>
    <t>KPI Admissão</t>
  </si>
  <si>
    <t>Validação Propósta técnica Lever &lt;&gt; Lever</t>
  </si>
  <si>
    <t>Apresentação steakholders (Bre, Kell, Fer Lellis etc)</t>
  </si>
  <si>
    <t>Target horas projeto Admissão</t>
  </si>
  <si>
    <t>Diagnóstico Processos As Is</t>
  </si>
  <si>
    <t>Diagnóstico Processos To be</t>
  </si>
  <si>
    <t>Diagnóstico Tecnico</t>
  </si>
  <si>
    <t>Conexão Neon</t>
  </si>
  <si>
    <t>Semana Presencial</t>
  </si>
  <si>
    <t>Estratégia PATH</t>
  </si>
  <si>
    <t>Neogciação + homologação ( TeamGuide)</t>
  </si>
  <si>
    <t>Estratégia System</t>
  </si>
  <si>
    <t>V2 Material Estratégia</t>
  </si>
  <si>
    <t>People Forúm</t>
  </si>
  <si>
    <t>Mensal PAS</t>
  </si>
  <si>
    <t>KPI Orçamento IA</t>
  </si>
  <si>
    <t>PMO DEV Assistente</t>
  </si>
  <si>
    <t>KPI AutomaTIME</t>
  </si>
  <si>
    <t>Alinhamento com os owners</t>
  </si>
  <si>
    <t>Comunicações e Agendas</t>
  </si>
  <si>
    <t>Governança System</t>
  </si>
  <si>
    <t>Processo Novos Admitidos</t>
  </si>
  <si>
    <t>Normas e Políticas</t>
  </si>
  <si>
    <t>GT 2025.1</t>
  </si>
  <si>
    <t>Subir Check in</t>
  </si>
  <si>
    <t>Devolutiva GT</t>
  </si>
  <si>
    <t>Suporte técnico PA</t>
  </si>
  <si>
    <t>Check In Time</t>
  </si>
  <si>
    <t>Disponibilização pdfs</t>
  </si>
  <si>
    <t>Planilhas Cal Assync</t>
  </si>
  <si>
    <t>Retirar acesso</t>
  </si>
  <si>
    <t>Liberação de acessos</t>
  </si>
  <si>
    <t>Envio de Relatórios</t>
  </si>
  <si>
    <t>Fechamento KPI Set</t>
  </si>
  <si>
    <t>Fechamento KPI Ago</t>
  </si>
  <si>
    <t>Go Live Neon</t>
  </si>
  <si>
    <t>VF Material Investidor</t>
  </si>
  <si>
    <t>Case Head People</t>
  </si>
  <si>
    <t>Enviar agendas (Fer, Carita e Camila)</t>
  </si>
  <si>
    <t>KPI DataVis</t>
  </si>
  <si>
    <t>Cronograma x Esforços</t>
  </si>
  <si>
    <t>Plano Tela Teams</t>
  </si>
  <si>
    <t>Defesa TeamGuide</t>
  </si>
  <si>
    <t>Foundation</t>
  </si>
  <si>
    <t>Data Lake</t>
  </si>
  <si>
    <t>Agendamento Automático</t>
  </si>
  <si>
    <t>KPI People</t>
  </si>
  <si>
    <t>Cronograma Implantação TeamGuide</t>
  </si>
  <si>
    <t>Neogciação PRIS</t>
  </si>
  <si>
    <t>Teamguide</t>
  </si>
  <si>
    <t>POC Go Live</t>
  </si>
  <si>
    <t>Estratégia POC TeamGuide</t>
  </si>
  <si>
    <t>Newsletter</t>
  </si>
  <si>
    <t>Regra Mensal x Trimestral</t>
  </si>
  <si>
    <t>Plano Go Live Neon</t>
  </si>
  <si>
    <t>Sprint 1: Dados de HC</t>
  </si>
  <si>
    <t>Segurança Trino &lt;&gt; Ezequias</t>
  </si>
  <si>
    <t>Dados Bacem</t>
  </si>
  <si>
    <t>Sprint 2: Dados de HC Diversidade</t>
  </si>
  <si>
    <t>Preencher cronograma e estratégia DataVis</t>
  </si>
  <si>
    <t>Fechamento KPI Out</t>
  </si>
  <si>
    <t>Sprint 3: Dados nominais + Dag Rodando</t>
  </si>
  <si>
    <t>POC + Agenda TeamGuide</t>
  </si>
  <si>
    <t>Calendário TeamGuide</t>
  </si>
  <si>
    <t>Engenharia</t>
  </si>
  <si>
    <t>Tabela flag_employee</t>
  </si>
  <si>
    <t>Workmodel</t>
  </si>
  <si>
    <t>Workmodel (Produtividade &amp; Disponibilidade)</t>
  </si>
  <si>
    <t>Stephanie Da Costa Calandrine</t>
  </si>
  <si>
    <t>Data</t>
  </si>
  <si>
    <t>Diagnóstico Fhink</t>
  </si>
  <si>
    <t>Onboarding Rafa (POC e Teamguide)</t>
  </si>
  <si>
    <t>Arquitetura de Dados + DataGOV</t>
  </si>
  <si>
    <t>Doing</t>
  </si>
  <si>
    <t>Pesquisa de Pulso</t>
  </si>
  <si>
    <t>Stephanie Da Costa Calandrine e Sabrina Mendes</t>
  </si>
  <si>
    <t>Estratégia</t>
  </si>
  <si>
    <t>Comunicação Produtos Path</t>
  </si>
  <si>
    <t>Fluxo Movimentação e CC + DEV</t>
  </si>
  <si>
    <t>Squad</t>
  </si>
  <si>
    <t>Movimentaçâo Times</t>
  </si>
  <si>
    <t>Jornada TA</t>
  </si>
  <si>
    <t>Abertura de vagas</t>
  </si>
  <si>
    <t>Organograma Agent</t>
  </si>
  <si>
    <t>Estratégia People Platform</t>
  </si>
  <si>
    <t>Testes Abertura de vagas</t>
  </si>
  <si>
    <t>Fechamento Contratao</t>
  </si>
  <si>
    <t>Líder Hub e Roadmap</t>
  </si>
  <si>
    <t>Conexão SSO</t>
  </si>
  <si>
    <t>Construção Organograma</t>
  </si>
  <si>
    <t>Kickoff</t>
  </si>
  <si>
    <t>Roadmap Automação + PP</t>
  </si>
  <si>
    <t>Conexão LG</t>
  </si>
  <si>
    <t>DDL Go Live</t>
  </si>
  <si>
    <t>Estratégia de contratação</t>
  </si>
  <si>
    <t>GT 2025.2</t>
  </si>
  <si>
    <t>Análise GT pós calibração</t>
  </si>
  <si>
    <t>Atualização XD</t>
  </si>
  <si>
    <t>API Dados Sensíveis</t>
  </si>
  <si>
    <t>Icaro Ribeiro</t>
  </si>
  <si>
    <t xml:space="preserve">Modelo de TO </t>
  </si>
  <si>
    <t>Integrações</t>
  </si>
  <si>
    <t>Gestão de acessos e SSOT</t>
  </si>
  <si>
    <t>Esteban Jose Gonzalez Gomez</t>
  </si>
  <si>
    <t>Roadmap</t>
  </si>
  <si>
    <t>Roadmap Final</t>
  </si>
  <si>
    <t>KPI Automação + Meta</t>
  </si>
  <si>
    <t>Go Live Times</t>
  </si>
  <si>
    <t>Estratégia 2026 + Roadmap</t>
  </si>
  <si>
    <t>Sabrina Mendes Escobar</t>
  </si>
  <si>
    <t>Protótipos telas + Produtos Líder</t>
  </si>
  <si>
    <t>Onboarding Desenvolvimento</t>
  </si>
  <si>
    <t xml:space="preserve">Kickoff Week </t>
  </si>
  <si>
    <t>One Page com Resumo KPI's</t>
  </si>
  <si>
    <t>Investidor BV</t>
  </si>
  <si>
    <t>Relatório Segurança</t>
  </si>
  <si>
    <t>Anbima</t>
  </si>
  <si>
    <t>Due Diligence</t>
  </si>
  <si>
    <t>Testes Feedback Lou</t>
  </si>
  <si>
    <t>Testar Dashboard DataViz</t>
  </si>
  <si>
    <t>Escopo thi</t>
  </si>
  <si>
    <t>Avançar com a POC team guide</t>
  </si>
  <si>
    <t>Orçamento</t>
  </si>
  <si>
    <t>Justificativa custo software</t>
  </si>
  <si>
    <t>Agendas de Hunting + Apresentação Pares</t>
  </si>
  <si>
    <t>Case &amp; Entrevistas Head</t>
  </si>
  <si>
    <t>Alinhamento Bre, Camila, Fer e Carita</t>
  </si>
  <si>
    <t>ROPA CPF APP</t>
  </si>
  <si>
    <t>Repasse Qulture. Rocks C&amp;TD</t>
  </si>
  <si>
    <t>Repasse LG time de Pops</t>
  </si>
  <si>
    <t>Backlog Produto</t>
  </si>
  <si>
    <t>Clientes + Agenda Produtos</t>
  </si>
  <si>
    <t>Lider Lab</t>
  </si>
  <si>
    <t>Treinamento Liderança</t>
  </si>
  <si>
    <t>PMO correção Bugs</t>
  </si>
  <si>
    <t>Trabalhista</t>
  </si>
  <si>
    <t>Base TO VO e IN</t>
  </si>
  <si>
    <t>Neon Financeira</t>
  </si>
  <si>
    <t>NeoFinanceira: Gratificação 55%</t>
  </si>
  <si>
    <t>Offer</t>
  </si>
  <si>
    <t>Alterar ferramenta de Posição p Cargo</t>
  </si>
  <si>
    <t>Nova GT</t>
  </si>
  <si>
    <t>Template Calibração Assync</t>
  </si>
  <si>
    <t>Orçamento 2026</t>
  </si>
  <si>
    <t>People Fórum</t>
  </si>
  <si>
    <t>Material VF</t>
  </si>
  <si>
    <t>Melhorias ferramenta offer</t>
  </si>
  <si>
    <t>Alinhamento time APP</t>
  </si>
  <si>
    <t>Renovação Glassdoor</t>
  </si>
  <si>
    <t>Alinhamento Fer Lellis</t>
  </si>
  <si>
    <t>Renovação Lever</t>
  </si>
  <si>
    <t>Overview Orçamento 2026</t>
  </si>
  <si>
    <t>Automação Lever + Mapeamento de dados.</t>
  </si>
  <si>
    <t>DEV Front End</t>
  </si>
  <si>
    <t>Alinhamento time TR</t>
  </si>
  <si>
    <t>MVP People</t>
  </si>
  <si>
    <t>Fechamento KPI Nov</t>
  </si>
  <si>
    <t>Correção de Bugs</t>
  </si>
  <si>
    <t>Projeto LG</t>
  </si>
  <si>
    <t>Valição nome UO e importação LG</t>
  </si>
  <si>
    <t>Espelhar Ferramenta de offer</t>
  </si>
  <si>
    <t>Painel Offboarding</t>
  </si>
  <si>
    <t>Pesquisa Mensal</t>
  </si>
  <si>
    <t>Disparo e alinhamentos</t>
  </si>
  <si>
    <t>Customizações Must Have</t>
  </si>
  <si>
    <t>Customizações Flags</t>
  </si>
  <si>
    <t>Produto</t>
  </si>
  <si>
    <t>People Allocation base revisão</t>
  </si>
  <si>
    <t>Validações Base Pesquisa (Dados, TR e Flags)</t>
  </si>
  <si>
    <t>DAG SSOT</t>
  </si>
  <si>
    <t>Feedbacks Steakholders e Comunicações de evolução</t>
  </si>
  <si>
    <t>Melhorias posições</t>
  </si>
  <si>
    <t>Rotina AuditData</t>
  </si>
  <si>
    <t>Gerador de offer</t>
  </si>
  <si>
    <t>Template revisão UO &lt;&gt; HRBP</t>
  </si>
  <si>
    <t>Vínculo posição &lt;&gt; promoção</t>
  </si>
  <si>
    <t>DEV assistente IA</t>
  </si>
  <si>
    <t>Neoff</t>
  </si>
  <si>
    <t>Check de dados relatório</t>
  </si>
  <si>
    <t>MVP assistente IA</t>
  </si>
  <si>
    <t>Quebras PDF's</t>
  </si>
  <si>
    <t>Base final HRBP</t>
  </si>
  <si>
    <t>Pré Calibração</t>
  </si>
  <si>
    <t>Apuração P4P (mensagem Blue) + Relatórios de Análise</t>
  </si>
  <si>
    <t>Atualização de dados</t>
  </si>
  <si>
    <t>Suporte GT</t>
  </si>
  <si>
    <t>Análise GT + Painel</t>
  </si>
  <si>
    <t>Atualização automática</t>
  </si>
  <si>
    <t>Validação Tela Lider Hub</t>
  </si>
  <si>
    <t>Painel KPIs (Verificar dados com os times)</t>
  </si>
  <si>
    <t>COMP</t>
  </si>
  <si>
    <t>Simulador de offer</t>
  </si>
  <si>
    <t>Análise COMP L8+</t>
  </si>
  <si>
    <t>Conexão People Platform &lt;&gt; Agente</t>
  </si>
  <si>
    <t>Workmodel: Org Design</t>
  </si>
  <si>
    <t>KPI's 2026</t>
  </si>
  <si>
    <t>Versão Final KPI</t>
  </si>
  <si>
    <t>Aprovar Check in</t>
  </si>
  <si>
    <t>Comunicação</t>
  </si>
  <si>
    <t>Logística Escritório &lt;&gt; Adesão</t>
  </si>
  <si>
    <t>Mensal PATH</t>
  </si>
  <si>
    <t>Estratégia PATH + Arquitetura</t>
  </si>
  <si>
    <t>Material Victor</t>
  </si>
  <si>
    <t>Conexão do Agente IA com o Data Lake</t>
  </si>
  <si>
    <t>Estratégia (Agente IA)</t>
  </si>
  <si>
    <t>Testar o Assistente IA &lt;&gt; People Platform</t>
  </si>
  <si>
    <t>Negociação Linkedin</t>
  </si>
  <si>
    <t>Enviar dados avaliação H1 e Gestão de Cons</t>
  </si>
  <si>
    <t xml:space="preserve">Projetos Jornada Neower + Métricas </t>
  </si>
  <si>
    <t>Workmodel: Produtidade</t>
  </si>
  <si>
    <t>Planilha de controle de Capacity</t>
  </si>
  <si>
    <t>Bases Drive: Movimentação P4P</t>
  </si>
  <si>
    <t>Bases Drive: Desligados</t>
  </si>
  <si>
    <t>Subir coluna gratificação na SSOT</t>
  </si>
  <si>
    <t>Reorg</t>
  </si>
  <si>
    <t>Estudo do cronograma e esforço - Reorg Data</t>
  </si>
  <si>
    <t>Template Reorg</t>
  </si>
  <si>
    <t>Importação e AuditData</t>
  </si>
  <si>
    <t>Preencher Newsletter</t>
  </si>
  <si>
    <t>Tabela Salarial</t>
  </si>
  <si>
    <t>Desassociação Cargos</t>
  </si>
  <si>
    <t>Refletir na LG os dados de níveis</t>
  </si>
  <si>
    <t>IA</t>
  </si>
  <si>
    <t>Roadmap KPI's</t>
  </si>
  <si>
    <t>Evolução people analytics + Jornada da Liderança</t>
  </si>
  <si>
    <t>Sócio Lake</t>
  </si>
  <si>
    <t>Melhorias Data Lake: Revisão código</t>
  </si>
  <si>
    <t>Revisão Tabela</t>
  </si>
  <si>
    <t>Novos campos solicitados</t>
  </si>
  <si>
    <t>Automação atualização diária testes</t>
  </si>
  <si>
    <t>Estrátégia system e Pas</t>
  </si>
  <si>
    <t>Desenvolvimento relatório P4P</t>
  </si>
  <si>
    <t>Comunicação P4P - Time TR</t>
  </si>
  <si>
    <t>SSOT posições vagas</t>
  </si>
  <si>
    <t>Cronograma Dez'25</t>
  </si>
  <si>
    <t>Cronograma Jan'26</t>
  </si>
  <si>
    <t>Seg</t>
  </si>
  <si>
    <t>Ter</t>
  </si>
  <si>
    <t>Qua</t>
  </si>
  <si>
    <t>Qui</t>
  </si>
  <si>
    <t>Sex</t>
  </si>
  <si>
    <t>Pesquisa &amp; Skills</t>
  </si>
  <si>
    <t>Carreira &amp; LMS</t>
  </si>
  <si>
    <t>pré requisitos: definições must have + nice to have</t>
  </si>
  <si>
    <t>POC</t>
  </si>
  <si>
    <t>Dez'25</t>
  </si>
  <si>
    <t>Jan'26</t>
  </si>
  <si>
    <t>liberação de acessos</t>
  </si>
  <si>
    <t>Implantação</t>
  </si>
  <si>
    <t>Fev'26</t>
  </si>
  <si>
    <t>Mar'26</t>
  </si>
  <si>
    <t>go live POC &amp; pré requisitos (must have + nice to have)</t>
  </si>
  <si>
    <t>Go Live</t>
  </si>
  <si>
    <t>Abr'26</t>
  </si>
  <si>
    <t>Mai'26</t>
  </si>
  <si>
    <t>AMA TeamGuide</t>
  </si>
  <si>
    <t>resultado aderência ferramenta (KPI's POC)</t>
  </si>
  <si>
    <t>debriefing entre áreas especialistas + HRBPs</t>
  </si>
  <si>
    <t>debriefing final steakholders</t>
  </si>
  <si>
    <t>diagnóstico final + pedidos de customizações</t>
  </si>
  <si>
    <t>Backlog de PAS no TRELLO</t>
  </si>
  <si>
    <t>Responsável</t>
  </si>
  <si>
    <t>SLA</t>
  </si>
  <si>
    <t>Relatório P4P</t>
  </si>
  <si>
    <t>Customização do relatório por system</t>
  </si>
  <si>
    <t>Correção unidade org</t>
  </si>
  <si>
    <t>Revisão unidade organizacional LG</t>
  </si>
  <si>
    <t>Integração</t>
  </si>
  <si>
    <t>Integração Data Lake &lt;&gt; POST QR</t>
  </si>
  <si>
    <t>Pesquisa</t>
  </si>
  <si>
    <t>Carina</t>
  </si>
  <si>
    <t>CSV Orçamento</t>
  </si>
  <si>
    <t>H1'2025</t>
  </si>
  <si>
    <t>Histórico Sociedade</t>
  </si>
  <si>
    <t>API Colaboradores</t>
  </si>
  <si>
    <t>API Desligados</t>
  </si>
  <si>
    <t>Produto SSOT</t>
  </si>
  <si>
    <t>Produto SSOT Drive</t>
  </si>
  <si>
    <t>API Hierarquia</t>
  </si>
  <si>
    <t>API Movimentações</t>
  </si>
  <si>
    <t>Grafana</t>
  </si>
  <si>
    <t>Ambiente de monitoramento dos dados</t>
  </si>
  <si>
    <t>Desenvolver API People</t>
  </si>
  <si>
    <t>Posições</t>
  </si>
  <si>
    <t>Correção dos Workflows com posição obrigatória</t>
  </si>
  <si>
    <t>H2'2025</t>
  </si>
  <si>
    <t>Novas datas movimentação</t>
  </si>
  <si>
    <t>Transferência de Área do dia 1 a 15</t>
  </si>
  <si>
    <t>Alteração de cargo mensal</t>
  </si>
  <si>
    <t>Integração Lever &lt;&gt; LG</t>
  </si>
  <si>
    <t>Onboarding Acessos + treinamento</t>
  </si>
  <si>
    <t>Kell</t>
  </si>
  <si>
    <t>TO DO</t>
  </si>
  <si>
    <t>Acesso ao quadro de vaga</t>
  </si>
  <si>
    <t>Liderança</t>
  </si>
  <si>
    <t>Movimentações/Alterações</t>
  </si>
  <si>
    <t>Solicitações travadas por outras pendências</t>
  </si>
  <si>
    <t>Visibilidade de gaps ou reprovas</t>
  </si>
  <si>
    <t>Comunicação das etapas do fluxo: e-mail ou Slack</t>
  </si>
  <si>
    <t>Entender integração LG - Slack</t>
  </si>
  <si>
    <t>API Afastamentos</t>
  </si>
  <si>
    <t>API Avaliação</t>
  </si>
  <si>
    <t>Dados históricos Pin People</t>
  </si>
  <si>
    <t>API Férias LG</t>
  </si>
  <si>
    <t>API Allocation</t>
  </si>
  <si>
    <t>API Banco de Horas</t>
  </si>
  <si>
    <t>API PDI</t>
  </si>
  <si>
    <t>API 1:1</t>
  </si>
  <si>
    <t>API Treinamentos</t>
  </si>
  <si>
    <t>API Terceiros</t>
  </si>
  <si>
    <t>API Vagas</t>
  </si>
  <si>
    <t>API Offers</t>
  </si>
  <si>
    <t>API Candidatos</t>
  </si>
  <si>
    <t>API Glassdoor</t>
  </si>
  <si>
    <t>Dados de Budget</t>
  </si>
  <si>
    <t>Pesquisa de Clima/Pulso</t>
  </si>
  <si>
    <t>Pesquisas de  Onboarding</t>
  </si>
  <si>
    <t>Pesquisa de Offboarding</t>
  </si>
  <si>
    <t>Novo Desenvolvimento</t>
  </si>
  <si>
    <t>Onboarding Neon</t>
  </si>
  <si>
    <t>Abertura Vagas</t>
  </si>
  <si>
    <t>Desenvolvimento lógica Budget</t>
  </si>
  <si>
    <t>Fluxo de offboard pensando no UX do líder</t>
  </si>
  <si>
    <t>99 hist</t>
  </si>
  <si>
    <t>Total</t>
  </si>
  <si>
    <t>Pilares da Estratégia</t>
  </si>
  <si>
    <t>Pilares</t>
  </si>
  <si>
    <t>Iniciativa</t>
  </si>
  <si>
    <t>Trimestre</t>
  </si>
  <si>
    <t>ROI X Esforço</t>
  </si>
  <si>
    <t>Processes &amp; Analytics</t>
  </si>
  <si>
    <t>Automação</t>
  </si>
  <si>
    <t>1. Alta</t>
  </si>
  <si>
    <t>Mapeamento Automações People + HUB de Automação(N8N &amp; Code) + IPA (Indice de Projetos Automatizados)</t>
  </si>
  <si>
    <t>Andreza</t>
  </si>
  <si>
    <t>Q1'26</t>
  </si>
  <si>
    <t>Em andamento</t>
  </si>
  <si>
    <t xml:space="preserve">Implantação TeamGuide: Pesquisa, LMS, Carreira e Skills + Engenharia: LG &lt;&gt;TeamGuide &lt;&gt; Data lake </t>
  </si>
  <si>
    <t>Thiago</t>
  </si>
  <si>
    <t>Maturidade: PA: Estruturação Modelo Consultoria ( Governança do Modelo) + TH (Implantar estratégia da Arquitetura com foco no preditivo e autonomia da liderança)</t>
  </si>
  <si>
    <t>Q3'26</t>
  </si>
  <si>
    <t>Strong core</t>
  </si>
  <si>
    <t>BAU</t>
  </si>
  <si>
    <t>3. Baixa</t>
  </si>
  <si>
    <t>Orçamento: Implantação Governança e Renovação de Sistemas (Linkedin, Pris, Teamguide etc)</t>
  </si>
  <si>
    <t>People Platform: Segmentação Usuário (Acessos plataformas/produtos PATH) + Leader Compass</t>
  </si>
  <si>
    <t>Q2'26</t>
  </si>
  <si>
    <t>People Platform: Hiring: simplified journey + (Go Live Admissão + Alertas flow Slack)</t>
  </si>
  <si>
    <t>People Platform: Self-service changes on salary and allocation movimentation</t>
  </si>
  <si>
    <t>A iniciar</t>
  </si>
  <si>
    <t>People Platform: simulations on payroll and HC</t>
  </si>
  <si>
    <t>Engenharia LG: ( Dados de Férias e Banco de horas)</t>
  </si>
  <si>
    <t>2.Média</t>
  </si>
  <si>
    <t>Engenharia Lever: (Dados de Offers, oportunidades e Candidatos)</t>
  </si>
  <si>
    <t>Portifólio API People: Dados Sensíveis</t>
  </si>
  <si>
    <t xml:space="preserve">Evolução BI: DDL(Lançamento + Capacitação Liderança) &amp; XD com dados de remuneração,movimentações,TA (automação diária)
</t>
  </si>
  <si>
    <t>Sabrina</t>
  </si>
  <si>
    <t>Stephanie</t>
  </si>
  <si>
    <t>DataViz: Revisão &amp; Sustentação painéis legado</t>
  </si>
  <si>
    <t>TeamGuide: Dashboards (Liderança &amp; HRBP's) + Sistematização GT 2026</t>
  </si>
  <si>
    <t>Data: Turnover Preditivo</t>
  </si>
  <si>
    <t>Governança KPI: Definição + Gestão</t>
  </si>
  <si>
    <t>Gestão de talentos 2025</t>
  </si>
  <si>
    <t>Talent to value</t>
  </si>
  <si>
    <t>Modelo de trabalho: Conexão Neon e estudo Disponibilidade (Foundation Engenharia)</t>
  </si>
  <si>
    <t>Modelo de trabalho: Conexão Neon e Produtividade</t>
  </si>
  <si>
    <t xml:space="preserve">Design Organizacional com enfânse em People Allocation </t>
  </si>
  <si>
    <t>Plant the seeds</t>
  </si>
  <si>
    <t>Evolução Assistente IA: (Volumentria de dados e alertas líder)</t>
  </si>
  <si>
    <t>DataScience: DataMesh</t>
  </si>
  <si>
    <t>Q4'26</t>
  </si>
  <si>
    <t>Sustentação Automação (Data Lake, API's etc, integrações)</t>
  </si>
  <si>
    <t xml:space="preserve">Timeline: Projetos </t>
  </si>
  <si>
    <t>Data Ini</t>
  </si>
  <si>
    <t>Data Fim</t>
  </si>
  <si>
    <t>Entregável</t>
  </si>
  <si>
    <t>CO Owner</t>
  </si>
  <si>
    <t>OBS</t>
  </si>
  <si>
    <t>TeamGuide</t>
  </si>
  <si>
    <t>Contrato</t>
  </si>
  <si>
    <t>Revisão contrato</t>
  </si>
  <si>
    <t>Assintatura contrato</t>
  </si>
  <si>
    <t>Abrir RC</t>
  </si>
  <si>
    <t>Backend</t>
  </si>
  <si>
    <t>Integração LG</t>
  </si>
  <si>
    <t>Integração SSO</t>
  </si>
  <si>
    <t>Henrique Neves dos Reis será nosso suporte.</t>
  </si>
  <si>
    <t>To Do</t>
  </si>
  <si>
    <t>UX</t>
  </si>
  <si>
    <t>Customização Ambiente</t>
  </si>
  <si>
    <t>Treinamentos Steakholders implantação</t>
  </si>
  <si>
    <t>Onboarding: Revisão Questionário +  Histórico de dados</t>
  </si>
  <si>
    <t>Clima: Revisão Questionário + Histórico de dados</t>
  </si>
  <si>
    <t>LMS</t>
  </si>
  <si>
    <t>Treinamento Obrigatório: Revisão Treinamentos + Histórico de dados</t>
  </si>
  <si>
    <t>Demais Treinamentos: Revisão Treinamentos + Histórico de dados</t>
  </si>
  <si>
    <t>Hiring Manager: Revisão Questionário + Histórico de dados</t>
  </si>
  <si>
    <t>Revisão Histórico de dados</t>
  </si>
  <si>
    <t>Sanite check data hierarquia</t>
  </si>
  <si>
    <t>Painel: Pesquisa de Onboarding</t>
  </si>
  <si>
    <t>Painel: Pesquisa Hiring Manager</t>
  </si>
  <si>
    <t>Painel: Treinamentos</t>
  </si>
  <si>
    <t>Painel: Pesquisa de Clima</t>
  </si>
  <si>
    <t>Revisão textos</t>
  </si>
  <si>
    <t>Onboarding: Implementação Questionário</t>
  </si>
  <si>
    <t>Clima: Implementação Questionário</t>
  </si>
  <si>
    <t>Clima: Implementação Treinamentos</t>
  </si>
  <si>
    <t>Hiring manager: Implementação Questionário</t>
  </si>
  <si>
    <t>Parametrização Treinamentos</t>
  </si>
  <si>
    <t>Parametrização Pesquisas</t>
  </si>
  <si>
    <t>Parametrização Envios + MVP</t>
  </si>
  <si>
    <t>Gestão de Acessos</t>
  </si>
  <si>
    <t>MVP People + Amostragem</t>
  </si>
  <si>
    <t>Painel Gestão de Talentos</t>
  </si>
  <si>
    <t>GT</t>
  </si>
  <si>
    <t>Implantação: Pesquisas GT</t>
  </si>
  <si>
    <t>Implantação: 1:1 e PDI</t>
  </si>
  <si>
    <t>Engineering</t>
  </si>
  <si>
    <t>Data Lake: Dados de Pesquisa</t>
  </si>
  <si>
    <t>Skills</t>
  </si>
  <si>
    <t>Painel Skills</t>
  </si>
  <si>
    <t>Implantação: Módulo de Skills</t>
  </si>
  <si>
    <t>Data Lake: Dados de Treinamento</t>
  </si>
  <si>
    <t>Implantação: Dados históricos módulo</t>
  </si>
  <si>
    <t>Data Lake: Dados de Avaliação</t>
  </si>
  <si>
    <t>Data Lake: Dados de Skills</t>
  </si>
  <si>
    <t>Comp</t>
  </si>
  <si>
    <t>Abertura de vagas: validação protótipo</t>
  </si>
  <si>
    <t>Agendamento automatico: validação protótipo</t>
  </si>
  <si>
    <t>Diagnóstico</t>
  </si>
  <si>
    <t>Business Case - Simulador de Offers 2.0</t>
  </si>
  <si>
    <t>Discovery</t>
  </si>
  <si>
    <t>Levantamento de Requisitos e Mapeamento de Regras de Negócio</t>
  </si>
  <si>
    <t>Documentação</t>
  </si>
  <si>
    <t>Revisão do Business Case</t>
  </si>
  <si>
    <t>Validação do Business Case</t>
  </si>
  <si>
    <t>Planejamento da Solução</t>
  </si>
  <si>
    <t>Planning</t>
  </si>
  <si>
    <t>Agendar apresentação da solução para stakeholders</t>
  </si>
  <si>
    <t>Divulgação do Business Case canal TRPPPATH</t>
  </si>
  <si>
    <t>Apresentação 1 para stakeholders (Time Rewards + Victor)</t>
  </si>
  <si>
    <t>Apresentação 2 para Fer Lelli</t>
  </si>
  <si>
    <t xml:space="preserve">Desenvolvimento da V0 para testes | Template Simulador </t>
  </si>
  <si>
    <t>Construção Template do Projeto</t>
  </si>
  <si>
    <t>Alinhamento requisitos ILP + HRBPs</t>
  </si>
  <si>
    <t>Conexão Lever + Tabela Salarial + Painel Analytics</t>
  </si>
  <si>
    <t>Revisão de Fluxo + Notificações + UX</t>
  </si>
  <si>
    <t>Apresentação V1 Versão Testes para stakeholders - vagas L5-</t>
  </si>
  <si>
    <t>Testes V1</t>
  </si>
  <si>
    <t>Disponibilização de V1 para testes com monitoramento + coleta de insights</t>
  </si>
  <si>
    <t>Entendimento com stakeholders sobre usabilidade + melhorias</t>
  </si>
  <si>
    <t>Priorização e backlog | O que vai para V2</t>
  </si>
  <si>
    <t>Desenvolvimento V2 | Ajuste fluxo, comunicação (alertas e Slack) e UX</t>
  </si>
  <si>
    <t>Desenvolvimento V2 + Testes V2 (internos PATH)</t>
  </si>
  <si>
    <t>Testes V2</t>
  </si>
  <si>
    <t>Testes Vagas L5- e L6+</t>
  </si>
  <si>
    <t>DDL</t>
  </si>
  <si>
    <t>Criação da tabela de remuneração</t>
  </si>
  <si>
    <t>Validação e disponibilização da tabela de remuneraçãol no QuickSight</t>
  </si>
  <si>
    <t>Atualização das fórmulas de Compensation no QuickSight</t>
  </si>
  <si>
    <t>Revisão de gráficos e visuais</t>
  </si>
  <si>
    <t>Rascunho de estrutura RLS + tabela de cálculos</t>
  </si>
  <si>
    <t>Criaçao V1 da tabela de RLS (row level security)</t>
  </si>
  <si>
    <t>Validação da tabela de RLS (com AWS)</t>
  </si>
  <si>
    <t>Testes RLS (fora de produção)</t>
  </si>
  <si>
    <t>Processo</t>
  </si>
  <si>
    <t>Reunião sobre fluxo definitivo de acesso ao DDL</t>
  </si>
  <si>
    <t>Melhoria no layout do Dashboard</t>
  </si>
  <si>
    <t>Ajustes na Tabela RLS + Adição de coluna de nomes + Mudança de formato em colunas numerais</t>
  </si>
  <si>
    <t xml:space="preserve">Validação versão final de Tabela RLS </t>
  </si>
  <si>
    <t>Validação Ajustes (coluna de nomes)</t>
  </si>
  <si>
    <t>Inserção Tabela RLS nos Datasets do Dashboard</t>
  </si>
  <si>
    <t>Testes V0</t>
  </si>
  <si>
    <t>Validação Interna RLS + Métricas</t>
  </si>
  <si>
    <t>Onda 2 | Disponibilização para gestores específicos</t>
  </si>
  <si>
    <t>Coleta de feedbacks + ajustes (se necessário)</t>
  </si>
  <si>
    <t>Onda 3 | Testes com gestores de People + Gestores Negócio</t>
  </si>
  <si>
    <t>Férias ou Conexão Neon</t>
  </si>
  <si>
    <t>Ativo</t>
  </si>
  <si>
    <t>Cont</t>
  </si>
  <si>
    <t>PATH</t>
  </si>
  <si>
    <t>Dias</t>
  </si>
  <si>
    <t>Komuta</t>
  </si>
  <si>
    <t>CN</t>
  </si>
  <si>
    <t>Step</t>
  </si>
  <si>
    <t>Sa</t>
  </si>
  <si>
    <t>Rafa</t>
  </si>
  <si>
    <t>%</t>
  </si>
  <si>
    <t xml:space="preserve">% </t>
  </si>
  <si>
    <t>PT</t>
  </si>
  <si>
    <t>Temporário Bre</t>
  </si>
  <si>
    <t>D</t>
  </si>
  <si>
    <t>S</t>
  </si>
  <si>
    <t>T</t>
  </si>
  <si>
    <t>Q</t>
  </si>
  <si>
    <t>Contrato + Jurídico QR</t>
  </si>
  <si>
    <t>Obrigatório</t>
  </si>
  <si>
    <t>Demais treinamentos</t>
  </si>
  <si>
    <t>Kick off</t>
  </si>
  <si>
    <t>onboarding</t>
  </si>
  <si>
    <t>7, 60 e 90</t>
  </si>
  <si>
    <t>Aviso Distrato QR (60 dias antes)</t>
  </si>
  <si>
    <t>hiring Manager</t>
  </si>
  <si>
    <t>7 e90</t>
  </si>
  <si>
    <t>Integração LG e SSO</t>
  </si>
  <si>
    <t>clima</t>
  </si>
  <si>
    <t>Trimestral</t>
  </si>
  <si>
    <t>LMS e Pesquisa</t>
  </si>
  <si>
    <t>Lançamento Pesquisa</t>
  </si>
  <si>
    <t>Treinamento Obrigatório</t>
  </si>
  <si>
    <t>Gestão de Talentos</t>
  </si>
  <si>
    <t>Campo</t>
  </si>
  <si>
    <t>Tipo</t>
  </si>
  <si>
    <t>Origem</t>
  </si>
  <si>
    <t>Tabela</t>
  </si>
  <si>
    <t>Reponsável</t>
  </si>
  <si>
    <t>Alimenta outro sistema? Quais?</t>
  </si>
  <si>
    <t>Alimenta quantos Sistemas?</t>
  </si>
  <si>
    <t>Dado Sensível?</t>
  </si>
  <si>
    <t>Atualização</t>
  </si>
  <si>
    <t>Erros Reportados</t>
  </si>
  <si>
    <t>Risco</t>
  </si>
  <si>
    <t>Cargo</t>
  </si>
  <si>
    <t>Level</t>
  </si>
  <si>
    <t>varchar</t>
  </si>
  <si>
    <t>LG</t>
  </si>
  <si>
    <t>API: Tabela Salarial</t>
  </si>
  <si>
    <t>SAP, SGN, Marauder, Jumpcloud, App Neon, Jira, PeopleAllocation e TeamGuide</t>
  </si>
  <si>
    <t>Mensal</t>
  </si>
  <si>
    <t>sim</t>
  </si>
  <si>
    <t>Hierarquia</t>
  </si>
  <si>
    <t>Gestor</t>
  </si>
  <si>
    <t>API: Tabela Hierarquia</t>
  </si>
  <si>
    <t>HRBPs</t>
  </si>
  <si>
    <t>SAP, Jira, Marauder, PeopleAllocation e TeamGuide</t>
  </si>
  <si>
    <t>Diário</t>
  </si>
  <si>
    <t>Cadastro</t>
  </si>
  <si>
    <t>Empresa</t>
  </si>
  <si>
    <t>API: Tabela Colaborador</t>
  </si>
  <si>
    <t>POPs</t>
  </si>
  <si>
    <t>ServiceNow, Marauder e TeamGuide</t>
  </si>
  <si>
    <t>Sensível</t>
  </si>
  <si>
    <t>Pontualmente</t>
  </si>
  <si>
    <t>cpf_cod</t>
  </si>
  <si>
    <t>KYC, SGN, Jira e N8N</t>
  </si>
  <si>
    <t>Na admissão</t>
  </si>
  <si>
    <t>Especialidade</t>
  </si>
  <si>
    <t>PeopleAllocation, DashbordlIA e TeamGuide</t>
  </si>
  <si>
    <t>HIerarquia</t>
  </si>
  <si>
    <t>UO_ID</t>
  </si>
  <si>
    <t>People Allocation e TeamGuide</t>
  </si>
  <si>
    <t>Nome_N0</t>
  </si>
  <si>
    <t>SAP, PeopleAllocation e TeamGuide</t>
  </si>
  <si>
    <t>Nome_N1</t>
  </si>
  <si>
    <t>Nome_N2 a Nome_N7</t>
  </si>
  <si>
    <t>Centro de custo</t>
  </si>
  <si>
    <t>SAP e Marauder</t>
  </si>
  <si>
    <t>E-mail</t>
  </si>
  <si>
    <t>Marauder e TeamGuide</t>
  </si>
  <si>
    <t>Data de Nascimento</t>
  </si>
  <si>
    <t>date</t>
  </si>
  <si>
    <t>Remuneração</t>
  </si>
  <si>
    <t>Target P4P (anual)</t>
  </si>
  <si>
    <t>float</t>
  </si>
  <si>
    <t>unid_org_n0_ds</t>
  </si>
  <si>
    <t>PeopleAllocation e TeamGuide</t>
  </si>
  <si>
    <t>unid_org_n1_ds</t>
  </si>
  <si>
    <t>unid_org_n2_ds a unid_org_n7_ds</t>
  </si>
  <si>
    <t>Avaliação</t>
  </si>
  <si>
    <t>Key Position</t>
  </si>
  <si>
    <t>Excel</t>
  </si>
  <si>
    <t>Tabela Key Talents</t>
  </si>
  <si>
    <t>CT&amp;D</t>
  </si>
  <si>
    <t>Semestral</t>
  </si>
  <si>
    <t>Key Talent</t>
  </si>
  <si>
    <t>Chave</t>
  </si>
  <si>
    <t>u00XX_id</t>
  </si>
  <si>
    <t>integer</t>
  </si>
  <si>
    <t>Acessos</t>
  </si>
  <si>
    <t>Service Now, Marauder e AppNeon</t>
  </si>
  <si>
    <t>Unidade Organizacional</t>
  </si>
  <si>
    <t>ILP</t>
  </si>
  <si>
    <t>Socio</t>
  </si>
  <si>
    <t>Tabela ILP</t>
  </si>
  <si>
    <t>Agrupado Nível</t>
  </si>
  <si>
    <t>Lógica Calculada</t>
  </si>
  <si>
    <t>custo_base</t>
  </si>
  <si>
    <t>Tabela Orçamento</t>
  </si>
  <si>
    <t>custo_projetado_dez</t>
  </si>
  <si>
    <t>Média Cargo</t>
  </si>
  <si>
    <t>AppNeon</t>
  </si>
  <si>
    <t>Cluster</t>
  </si>
  <si>
    <t>Raça</t>
  </si>
  <si>
    <t>Bu</t>
  </si>
  <si>
    <t>BU/CoE/Plataform</t>
  </si>
  <si>
    <t>Conceito 2024.2</t>
  </si>
  <si>
    <t>Tabela QR</t>
  </si>
  <si>
    <t>Conceito 2025.1</t>
  </si>
  <si>
    <t>Conceito 2025.2</t>
  </si>
  <si>
    <t>Situação</t>
  </si>
  <si>
    <t>PCD</t>
  </si>
  <si>
    <t>Localização</t>
  </si>
  <si>
    <t>Cidade</t>
  </si>
  <si>
    <t>Movimentação</t>
  </si>
  <si>
    <t>Data Movimentação</t>
  </si>
  <si>
    <t>API: Tabela de Movimentações Salariais</t>
  </si>
  <si>
    <t>data_retorno</t>
  </si>
  <si>
    <t>API: Tabela Afastamentos</t>
  </si>
  <si>
    <t>Perc. Aumento</t>
  </si>
  <si>
    <t>% na faixa - salário</t>
  </si>
  <si>
    <t>Gratificacao_nf</t>
  </si>
  <si>
    <t>Salário</t>
  </si>
  <si>
    <t>Ptos Flexíveis</t>
  </si>
  <si>
    <t>Tabela Benefícios</t>
  </si>
  <si>
    <t>Ptos P. Médico</t>
  </si>
  <si>
    <t>Ptos Total</t>
  </si>
  <si>
    <t>Potencial Ganho ILP (anual)
Ganhos em R$</t>
  </si>
  <si>
    <t>Shares Outorgadas</t>
  </si>
  <si>
    <t>Shares Unvested</t>
  </si>
  <si>
    <t>Shares Vested</t>
  </si>
  <si>
    <t>Vinculo</t>
  </si>
  <si>
    <t>Marauder</t>
  </si>
  <si>
    <t>PAS</t>
  </si>
  <si>
    <t>Geração</t>
  </si>
  <si>
    <t>Range Span</t>
  </si>
  <si>
    <t>Report Total</t>
  </si>
  <si>
    <t>Span</t>
  </si>
  <si>
    <t>tempo de casa (meses)</t>
  </si>
  <si>
    <t>UF</t>
  </si>
  <si>
    <t>Moeda</t>
  </si>
  <si>
    <t>Data Admissão</t>
  </si>
  <si>
    <t>Nome Funcionário</t>
  </si>
  <si>
    <t>Idade</t>
  </si>
  <si>
    <t>CBO</t>
  </si>
  <si>
    <t>É gestor?</t>
  </si>
  <si>
    <t>Marca Ponto</t>
  </si>
  <si>
    <t>API: Tabela Cargos</t>
  </si>
  <si>
    <t>Nível Cargo</t>
  </si>
  <si>
    <t>Pessoa_ID</t>
  </si>
  <si>
    <t>Posição</t>
  </si>
  <si>
    <t>Posição Gestor</t>
  </si>
  <si>
    <t>Sexo</t>
  </si>
  <si>
    <t>People Allocation</t>
  </si>
  <si>
    <t>Tabela People Allocation</t>
  </si>
  <si>
    <t>País</t>
  </si>
  <si>
    <t>Região Brasil</t>
  </si>
  <si>
    <t>data_afastamento</t>
  </si>
  <si>
    <t>Dados Lever &lt;&gt; Data Lake</t>
  </si>
  <si>
    <t>Agendamento de Entrevista: Tech e Crédito</t>
  </si>
  <si>
    <t>Conexão SSOT</t>
  </si>
  <si>
    <t xml:space="preserve">Modelo preditivo de KT </t>
  </si>
  <si>
    <t>Acessos + Testes</t>
  </si>
  <si>
    <t>Welligton Alves Dias</t>
  </si>
  <si>
    <t>FAQ no agente</t>
  </si>
  <si>
    <t>Mapeamento Sol</t>
  </si>
  <si>
    <t>Cronograma | New DDL</t>
  </si>
  <si>
    <t>Chance do risco acontecer</t>
  </si>
  <si>
    <t>Chances de paralizar o projeto caso o risco aconteça</t>
  </si>
  <si>
    <t>Tarefa Mapeadas</t>
  </si>
  <si>
    <t>Observações</t>
  </si>
  <si>
    <t>Responsáveis</t>
  </si>
  <si>
    <t>Data Início</t>
  </si>
  <si>
    <t>Nível do risco</t>
  </si>
  <si>
    <t>Fase 1</t>
  </si>
  <si>
    <t>Construção do dashboard</t>
  </si>
  <si>
    <t>Desenvolvimento de métricas e visuais</t>
  </si>
  <si>
    <t>Coleta de Feedbacks | Onda 1</t>
  </si>
  <si>
    <t>Finalizado</t>
  </si>
  <si>
    <t xml:space="preserve">Desenvolvimento de storytelling e ajustes </t>
  </si>
  <si>
    <t>Definição de paleta</t>
  </si>
  <si>
    <t xml:space="preserve">Criação de tema Neon 2026 </t>
  </si>
  <si>
    <t xml:space="preserve">Tema com as cores Neon </t>
  </si>
  <si>
    <t>Cancelado</t>
  </si>
  <si>
    <t>Não temos autonomia pra criar temas</t>
  </si>
  <si>
    <t>Adequação de visuais ao tema</t>
  </si>
  <si>
    <t>Métricas de workforce design</t>
  </si>
  <si>
    <t>Métricas de Compensation &amp; Mobility</t>
  </si>
  <si>
    <t>Depende da inserção da tabela salarial</t>
  </si>
  <si>
    <t>Métricas de Turnover &amp; Offboarding</t>
  </si>
  <si>
    <t>Depende da inserção do RLS</t>
  </si>
  <si>
    <t>Adição de ícones explicativos</t>
  </si>
  <si>
    <t>Adição de todos os itens textuais (direcionamentos, notas de referência, etc)</t>
  </si>
  <si>
    <t>Fase 2</t>
  </si>
  <si>
    <t>Data Lake &lt;&gt; QuickSight</t>
  </si>
  <si>
    <t>Inserção Tabela Salarial (TODAS as informações salariais)</t>
  </si>
  <si>
    <t>Entender viabilidade</t>
  </si>
  <si>
    <t>Não conseguirmos importar todas as tabelas para o quicksight e, consequentemente, não ter métricas de compensation</t>
  </si>
  <si>
    <t>Inserção informações entrevistas de desligamento (offboarding)</t>
  </si>
  <si>
    <t>Planejado</t>
  </si>
  <si>
    <t>Não temos conexão QR &lt;&gt; Lake</t>
  </si>
  <si>
    <t>Inserção modelo preditivo de turnover 2026</t>
  </si>
  <si>
    <t>Entender maturidade e impactos</t>
  </si>
  <si>
    <t>Precisamos entender melhor maturidade e finalidade de levar esse dado</t>
  </si>
  <si>
    <t>Inserção informações sobre People Allocation</t>
  </si>
  <si>
    <t>Não temos conexão People Allocation &lt;&gt; Lake</t>
  </si>
  <si>
    <t>Fase 3</t>
  </si>
  <si>
    <t>Segurança</t>
  </si>
  <si>
    <t>Row-Level Security e Embedding</t>
  </si>
  <si>
    <t>Entendimento com AWS sobre Row-Level Security dentro do DataSet</t>
  </si>
  <si>
    <t>Entendimento com AWS sobre Row-Level Security com Embedding na People Platform</t>
  </si>
  <si>
    <t>Tabela de mapeamento de dados</t>
  </si>
  <si>
    <t>Thiago Lopes Pereira Sabrina Mendes</t>
  </si>
  <si>
    <t>Desenvolvimento tabelas (Dados salariais, cálculos e tabela de acessos)</t>
  </si>
  <si>
    <t>Solução não ser desenvolvida a tempo</t>
  </si>
  <si>
    <t>Testes</t>
  </si>
  <si>
    <t>Ajustes</t>
  </si>
  <si>
    <t>Fase 4</t>
  </si>
  <si>
    <t>Lançamento</t>
  </si>
  <si>
    <t xml:space="preserve">Divulgação </t>
  </si>
  <si>
    <t>Apresentação para PATH</t>
  </si>
  <si>
    <t>Apresentação para People</t>
  </si>
  <si>
    <t>Percepções de People vs narrativa PATH</t>
  </si>
  <si>
    <t>Criação de materiais (onboarding + plano de comunicação + biblio Neon)</t>
  </si>
  <si>
    <t>Não ter tempo de criar todos os materiais</t>
  </si>
  <si>
    <t>Alinhamento com sobre Plano de Comunicação</t>
  </si>
  <si>
    <t>Gabriela Oliveira Sabrina Mendes</t>
  </si>
  <si>
    <t>Lançamento Neon (junto ao LeaderHub?)</t>
  </si>
  <si>
    <t>Coleta de Feedbacks</t>
  </si>
  <si>
    <t>Garantir fluxo de acesso e perfis de todas as lideranças criados</t>
  </si>
  <si>
    <t>Não ter fluxo definitivo e nem owner do processo</t>
  </si>
  <si>
    <t>Fase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</si>
</sst>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hh:mm"/>
    <numFmt numFmtId="166" formatCode="mmm/yyyy"/>
    <numFmt numFmtId="167" formatCode="yyyy&quot;-&quot;mm&quot;-&quot;dd"/>
    <numFmt numFmtId="168" formatCode="0.0"/>
    <numFmt numFmtId="169" formatCode="dd-mm"/>
    <numFmt numFmtId="170" formatCode="d-m"/>
    <numFmt numFmtId="171" formatCode="dd/mm"/>
    <numFmt numFmtId="172" formatCode="dd/mm/yyyy"/>
  </numFmts>
  <fonts count="8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8.0"/>
      <color theme="1"/>
      <name val="Arial"/>
      <scheme val="minor"/>
    </font>
    <font>
      <b/>
      <color rgb="FFFFFFFF"/>
      <name val="DM Sans"/>
    </font>
    <font>
      <b/>
      <sz val="13.0"/>
      <color theme="1"/>
      <name val="DM Sans"/>
    </font>
    <font>
      <b/>
      <color theme="1"/>
      <name val="DM Sans"/>
    </font>
    <font>
      <i/>
      <color theme="1"/>
      <name val="DM Sans"/>
    </font>
    <font>
      <color rgb="FFFFFFFF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i/>
      <sz val="9.0"/>
      <color theme="1"/>
      <name val="DM Sans"/>
    </font>
    <font>
      <sz val="10.0"/>
      <color theme="1"/>
      <name val="DM Sans"/>
    </font>
    <font>
      <b/>
      <sz val="14.0"/>
      <color theme="1"/>
      <name val="DM Sans"/>
    </font>
    <font>
      <sz val="9.0"/>
      <color rgb="FFFFFFFF"/>
      <name val="DM Sans"/>
    </font>
    <font>
      <sz val="9.0"/>
      <color theme="1"/>
      <name val="DM Sans"/>
    </font>
    <font>
      <u/>
      <sz val="9.0"/>
      <color theme="1"/>
      <name val="DM Sans"/>
    </font>
    <font>
      <u/>
      <sz val="9.0"/>
      <color theme="1"/>
      <name val="DM Sans"/>
    </font>
    <font>
      <u/>
      <sz val="9.0"/>
      <color theme="1"/>
      <name val="DM Sans"/>
    </font>
    <font>
      <b/>
      <sz val="10.0"/>
      <color rgb="FFFFFFFF"/>
      <name val="DM Sans"/>
    </font>
    <font>
      <sz val="10.0"/>
      <color rgb="FF1F1F1F"/>
      <name val="DM Sans"/>
    </font>
    <font>
      <u/>
      <sz val="10.0"/>
      <color theme="1"/>
      <name val="DM Sans"/>
    </font>
    <font>
      <u/>
      <sz val="10.0"/>
      <color theme="1"/>
      <name val="DM Sans"/>
    </font>
    <font>
      <u/>
      <sz val="10.0"/>
      <color theme="1"/>
      <name val="DM Sans"/>
    </font>
    <font>
      <sz val="18.0"/>
      <color theme="1"/>
      <name val="Arial"/>
      <scheme val="minor"/>
    </font>
    <font>
      <sz val="19.0"/>
      <color theme="1"/>
      <name val="Arial"/>
      <scheme val="minor"/>
    </font>
    <font>
      <b/>
      <sz val="8.0"/>
      <color rgb="FFFFFFFF"/>
      <name val="Epilogue"/>
    </font>
    <font>
      <sz val="8.0"/>
      <color theme="1"/>
      <name val="Epilogue"/>
    </font>
    <font>
      <sz val="8.0"/>
      <color rgb="FFCCCCCC"/>
      <name val="Epilogue"/>
    </font>
    <font>
      <sz val="8.0"/>
      <color rgb="FF000000"/>
      <name val="Epilogue"/>
    </font>
    <font>
      <u/>
      <sz val="8.0"/>
      <color theme="1"/>
      <name val="Epilogue"/>
    </font>
    <font>
      <b/>
      <sz val="8.0"/>
      <color theme="1"/>
      <name val="Arial"/>
      <scheme val="minor"/>
    </font>
    <font>
      <sz val="8.0"/>
      <color rgb="FFFFFFFF"/>
      <name val="Arial"/>
      <scheme val="minor"/>
    </font>
    <font>
      <sz val="8.0"/>
      <color rgb="FF999999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sz val="7.0"/>
      <color rgb="FFFFFFFF"/>
      <name val="Arial"/>
      <scheme val="minor"/>
    </font>
    <font>
      <b/>
      <i/>
      <u/>
      <sz val="11.0"/>
      <color theme="1"/>
      <name val="Epilogue"/>
    </font>
    <font>
      <b/>
      <sz val="9.0"/>
      <color theme="1"/>
      <name val="Epilogue"/>
    </font>
    <font>
      <sz val="9.0"/>
      <color theme="1"/>
      <name val="Arial"/>
      <scheme val="minor"/>
    </font>
    <font>
      <sz val="9.0"/>
      <color theme="1"/>
      <name val="Epilogue"/>
    </font>
    <font>
      <b/>
      <sz val="9.0"/>
      <color rgb="FFFFFFFF"/>
      <name val="Arial"/>
      <scheme val="minor"/>
    </font>
    <font>
      <b/>
      <sz val="9.0"/>
      <color theme="1"/>
      <name val="Arial"/>
      <scheme val="minor"/>
    </font>
    <font>
      <u/>
      <color theme="1"/>
      <name val="Arial"/>
      <scheme val="minor"/>
    </font>
    <font>
      <sz val="9.0"/>
      <color rgb="FFFFFFFF"/>
      <name val="Arial"/>
      <scheme val="minor"/>
    </font>
    <font>
      <sz val="8.0"/>
      <color rgb="FFFFFFFF"/>
      <name val="DM Sans"/>
    </font>
    <font>
      <b/>
      <sz val="8.0"/>
      <color rgb="FFFFFFFF"/>
      <name val="DM Sans"/>
    </font>
    <font>
      <sz val="8.0"/>
      <color theme="1"/>
      <name val="DM Sans"/>
    </font>
    <font>
      <b/>
      <sz val="8.0"/>
      <color theme="1"/>
      <name val="DM Sans"/>
    </font>
    <font>
      <b/>
      <sz val="9.0"/>
      <color rgb="FF000000"/>
      <name val="DM Sans"/>
    </font>
    <font>
      <b/>
      <sz val="9.0"/>
      <color rgb="FFFFFFFF"/>
      <name val="DM Sans"/>
    </font>
    <font>
      <u/>
      <sz val="9.0"/>
      <color theme="1"/>
      <name val="DM Sans"/>
    </font>
    <font>
      <u/>
      <sz val="9.0"/>
      <color rgb="FF1155CC"/>
      <name val="DM Sans"/>
    </font>
    <font>
      <u/>
      <sz val="9.0"/>
      <color theme="1"/>
      <name val="DM Sans"/>
    </font>
    <font>
      <u/>
      <sz val="9.0"/>
      <color theme="1"/>
      <name val="DM Sans"/>
    </font>
    <font>
      <color theme="1"/>
      <name val="DM Sans"/>
    </font>
    <font>
      <b/>
      <sz val="12.0"/>
      <color theme="1"/>
      <name val="DM Sans"/>
    </font>
    <font>
      <sz val="7.0"/>
      <color theme="1"/>
      <name val="DM Sans"/>
    </font>
    <font>
      <b/>
      <sz val="7.0"/>
      <color rgb="FFFFFFFF"/>
      <name val="DM Sans"/>
    </font>
    <font>
      <sz val="11.0"/>
      <color rgb="FF000000"/>
      <name val="&quot;Aptos Narrow&quot;"/>
    </font>
    <font>
      <b/>
      <sz val="8.0"/>
      <color rgb="FF000000"/>
      <name val="DM Sans"/>
    </font>
    <font>
      <sz val="8.0"/>
      <color rgb="FFADADAD"/>
      <name val="&quot;Aptos Narrow&quot;"/>
    </font>
    <font>
      <sz val="8.0"/>
      <color rgb="FFADADAD"/>
      <name val="DM Sans"/>
    </font>
    <font>
      <sz val="8.0"/>
      <color rgb="FF000000"/>
      <name val="DM Sans"/>
    </font>
    <font>
      <sz val="8.0"/>
      <color rgb="FF000000"/>
      <name val="&quot;Aptos Narrow&quot;"/>
    </font>
    <font>
      <sz val="9.0"/>
      <color rgb="FF000000"/>
      <name val="DM Sans"/>
    </font>
    <font>
      <sz val="9.0"/>
      <color rgb="FF434343"/>
      <name val="DM Sans"/>
    </font>
    <font>
      <color rgb="FF1F1F1F"/>
      <name val="Roboto"/>
    </font>
    <font>
      <sz val="9.0"/>
      <color rgb="FF11734B"/>
      <name val="DM Sans"/>
    </font>
    <font>
      <sz val="9.0"/>
      <color rgb="FF3D3D3D"/>
      <name val="DM Sans"/>
    </font>
    <font>
      <sz val="9.0"/>
      <color rgb="FFB10202"/>
      <name val="DM Sans"/>
    </font>
    <font>
      <sz val="9.0"/>
      <color rgb="FF215A6C"/>
      <name val="DM Sans"/>
    </font>
    <font>
      <sz val="9.0"/>
      <color rgb="FFE5E5E5"/>
      <name val="DM Sans"/>
    </font>
    <font>
      <sz val="9.0"/>
      <color rgb="FFFFCFC9"/>
      <name val="DM Sans"/>
    </font>
    <font>
      <b/>
      <sz val="17.0"/>
      <color theme="1"/>
      <name val="Epilogue"/>
    </font>
    <font>
      <i/>
      <sz val="8.0"/>
      <color theme="1"/>
      <name val="Epilogue"/>
    </font>
    <font>
      <b/>
      <sz val="16.0"/>
      <color theme="1"/>
      <name val="Epilogue"/>
    </font>
    <font>
      <b/>
      <sz val="8.0"/>
      <color theme="1"/>
      <name val="Epilogue"/>
    </font>
    <font>
      <u/>
      <sz val="7.0"/>
      <color rgb="FF1F1F1F"/>
      <name val="Epilogue"/>
    </font>
    <font>
      <u/>
      <sz val="7.0"/>
      <color rgb="FF1F1F1F"/>
      <name val="Epilogue"/>
    </font>
    <font>
      <sz val="7.0"/>
      <color rgb="FF1F1F1F"/>
      <name val="Epilogue"/>
    </font>
  </fonts>
  <fills count="31">
    <fill>
      <patternFill patternType="none"/>
    </fill>
    <fill>
      <patternFill patternType="lightGray"/>
    </fill>
    <fill>
      <patternFill patternType="solid">
        <fgColor rgb="FF171F3D"/>
        <bgColor rgb="FF171F3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4FF3F"/>
        <bgColor rgb="FF94FF3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ADADAD"/>
        <bgColor rgb="FFADADAD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theme="8"/>
        <bgColor theme="8"/>
      </patternFill>
    </fill>
    <fill>
      <patternFill patternType="solid">
        <fgColor rgb="FF073763"/>
        <bgColor rgb="FF07376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4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FFFFFF"/>
      </right>
      <top style="thin">
        <color rgb="FFD9D9D9"/>
      </top>
    </border>
    <border>
      <left style="thin">
        <color rgb="FFD9D9D9"/>
      </left>
      <right style="thin">
        <color rgb="FFFFFFFF"/>
      </right>
    </border>
    <border>
      <left style="thin">
        <color rgb="FFD9D9D9"/>
      </left>
      <right style="thin">
        <color rgb="FFFFFFFF"/>
      </right>
      <bottom style="thin">
        <color rgb="FFD9D9D9"/>
      </bottom>
    </border>
    <border>
      <left style="thin">
        <color rgb="FFD9D9D9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000000"/>
      </bottom>
    </border>
    <border>
      <top style="thin">
        <color rgb="FFD9D9D9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</border>
    <border>
      <bottom style="thin">
        <color rgb="FFFFFFFF"/>
      </bottom>
    </border>
    <border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F3F3F3"/>
      </top>
    </border>
    <border>
      <left style="thin">
        <color rgb="FFF3F3F3"/>
      </left>
      <right style="thin">
        <color rgb="FFF3F3F3"/>
      </right>
    </border>
    <border>
      <left style="thin">
        <color rgb="FFF3F3F3"/>
      </left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2" fillId="2" fontId="5" numFmtId="0" xfId="0" applyAlignment="1" applyBorder="1" applyFill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0" fontId="6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4" fillId="3" fontId="7" numFmtId="0" xfId="0" applyAlignment="1" applyBorder="1" applyFill="1" applyFont="1">
      <alignment horizontal="center" vertical="center"/>
    </xf>
    <xf borderId="2" fillId="3" fontId="8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/>
    </xf>
    <xf borderId="1" fillId="3" fontId="9" numFmtId="0" xfId="0" applyAlignment="1" applyBorder="1" applyFont="1">
      <alignment horizontal="left"/>
    </xf>
    <xf borderId="1" fillId="3" fontId="10" numFmtId="49" xfId="0" applyAlignment="1" applyBorder="1" applyFont="1" applyNumberFormat="1">
      <alignment horizontal="center" readingOrder="0"/>
    </xf>
    <xf borderId="1" fillId="3" fontId="10" numFmtId="0" xfId="0" applyAlignment="1" applyBorder="1" applyFont="1">
      <alignment horizontal="center" readingOrder="0"/>
    </xf>
    <xf borderId="5" fillId="3" fontId="10" numFmtId="14" xfId="0" applyAlignment="1" applyBorder="1" applyFont="1" applyNumberFormat="1">
      <alignment horizontal="center" readingOrder="0"/>
    </xf>
    <xf borderId="6" fillId="0" fontId="11" numFmtId="0" xfId="0" applyBorder="1" applyFont="1"/>
    <xf borderId="7" fillId="0" fontId="11" numFmtId="0" xfId="0" applyBorder="1" applyFont="1"/>
    <xf borderId="2" fillId="3" fontId="8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readingOrder="0"/>
    </xf>
    <xf borderId="3" fillId="0" fontId="2" numFmtId="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/>
    </xf>
    <xf borderId="1" fillId="0" fontId="3" numFmtId="0" xfId="0" applyBorder="1" applyFont="1"/>
    <xf borderId="8" fillId="0" fontId="11" numFmtId="0" xfId="0" applyBorder="1" applyFont="1"/>
    <xf borderId="3" fillId="0" fontId="2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left" readingOrder="0" shrinkToFit="0" vertical="bottom" wrapText="1"/>
    </xf>
    <xf borderId="10" fillId="3" fontId="7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/>
    </xf>
    <xf borderId="1" fillId="3" fontId="1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3" fillId="3" fontId="14" numFmtId="0" xfId="0" applyAlignment="1" applyBorder="1" applyFont="1">
      <alignment horizontal="center" readingOrder="0" vertical="center"/>
    </xf>
    <xf borderId="1" fillId="4" fontId="14" numFmtId="164" xfId="0" applyAlignment="1" applyBorder="1" applyFill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5" fontId="14" numFmtId="0" xfId="0" applyAlignment="1" applyBorder="1" applyFill="1" applyFont="1">
      <alignment horizontal="center" readingOrder="0"/>
    </xf>
    <xf borderId="14" fillId="0" fontId="11" numFmtId="0" xfId="0" applyBorder="1" applyFont="1"/>
    <xf borderId="1" fillId="5" fontId="14" numFmtId="164" xfId="0" applyAlignment="1" applyBorder="1" applyFont="1" applyNumberFormat="1">
      <alignment horizontal="center" readingOrder="0"/>
    </xf>
    <xf borderId="12" fillId="0" fontId="11" numFmtId="0" xfId="0" applyBorder="1" applyFont="1"/>
    <xf borderId="1" fillId="3" fontId="14" numFmtId="0" xfId="0" applyAlignment="1" applyBorder="1" applyFont="1">
      <alignment horizontal="center"/>
    </xf>
    <xf borderId="1" fillId="4" fontId="14" numFmtId="0" xfId="0" applyAlignment="1" applyBorder="1" applyFont="1">
      <alignment horizontal="center"/>
    </xf>
    <xf borderId="1" fillId="6" fontId="14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/>
    </xf>
    <xf borderId="13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left"/>
    </xf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8" fillId="0" fontId="15" numFmtId="0" xfId="0" applyAlignment="1" applyBorder="1" applyFont="1">
      <alignment horizontal="center" readingOrder="0"/>
    </xf>
    <xf borderId="18" fillId="0" fontId="11" numFmtId="0" xfId="0" applyBorder="1" applyFont="1"/>
    <xf borderId="5" fillId="0" fontId="15" numFmtId="49" xfId="0" applyAlignment="1" applyBorder="1" applyFont="1" applyNumberFormat="1">
      <alignment horizontal="center" readingOrder="0"/>
    </xf>
    <xf borderId="5" fillId="0" fontId="15" numFmtId="0" xfId="0" applyAlignment="1" applyBorder="1" applyFont="1">
      <alignment horizontal="center" readingOrder="0"/>
    </xf>
    <xf borderId="13" fillId="2" fontId="16" numFmtId="0" xfId="0" applyAlignment="1" applyBorder="1" applyFont="1">
      <alignment horizontal="left" readingOrder="0" vertical="center"/>
    </xf>
    <xf borderId="13" fillId="2" fontId="16" numFmtId="0" xfId="0" applyAlignment="1" applyBorder="1" applyFont="1">
      <alignment horizontal="left" readingOrder="0" shrinkToFit="0" vertical="center" wrapText="1"/>
    </xf>
    <xf borderId="1" fillId="2" fontId="16" numFmtId="0" xfId="0" applyAlignment="1" applyBorder="1" applyFont="1">
      <alignment horizontal="left" readingOrder="0" vertical="center"/>
    </xf>
    <xf borderId="1" fillId="2" fontId="16" numFmtId="0" xfId="0" applyAlignment="1" applyBorder="1" applyFont="1">
      <alignment horizontal="center" readingOrder="0" shrinkToFit="0" vertical="center" wrapText="1"/>
    </xf>
    <xf borderId="5" fillId="2" fontId="16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left" readingOrder="0" shrinkToFit="0" vertical="center" wrapText="1"/>
    </xf>
    <xf borderId="1" fillId="2" fontId="16" numFmtId="49" xfId="0" applyAlignment="1" applyBorder="1" applyFont="1" applyNumberFormat="1">
      <alignment horizontal="center" readingOrder="0" vertical="center"/>
    </xf>
    <xf borderId="1" fillId="2" fontId="16" numFmtId="0" xfId="0" applyAlignment="1" applyBorder="1" applyFont="1">
      <alignment horizontal="center" readingOrder="0" vertical="center"/>
    </xf>
    <xf borderId="19" fillId="3" fontId="17" numFmtId="0" xfId="0" applyAlignment="1" applyBorder="1" applyFont="1">
      <alignment horizontal="left" readingOrder="0" vertical="center"/>
    </xf>
    <xf borderId="19" fillId="7" fontId="17" numFmtId="0" xfId="0" applyAlignment="1" applyBorder="1" applyFill="1" applyFont="1">
      <alignment horizontal="left" readingOrder="0" vertical="center"/>
    </xf>
    <xf borderId="19" fillId="3" fontId="17" numFmtId="0" xfId="0" applyAlignment="1" applyBorder="1" applyFont="1">
      <alignment horizontal="left" readingOrder="0" shrinkToFit="0" vertical="top" wrapText="1"/>
    </xf>
    <xf borderId="13" fillId="3" fontId="17" numFmtId="0" xfId="0" applyAlignment="1" applyBorder="1" applyFont="1">
      <alignment horizontal="left" readingOrder="0" vertical="center"/>
    </xf>
    <xf borderId="13" fillId="3" fontId="17" numFmtId="0" xfId="0" applyAlignment="1" applyBorder="1" applyFont="1">
      <alignment horizontal="left" readingOrder="0" shrinkToFit="0" vertical="center" wrapText="1"/>
    </xf>
    <xf borderId="13" fillId="3" fontId="17" numFmtId="3" xfId="0" applyAlignment="1" applyBorder="1" applyFont="1" applyNumberFormat="1">
      <alignment horizontal="left" readingOrder="0" vertical="center"/>
    </xf>
    <xf borderId="13" fillId="3" fontId="17" numFmtId="164" xfId="0" applyAlignment="1" applyBorder="1" applyFont="1" applyNumberFormat="1">
      <alignment horizontal="center" readingOrder="0" vertical="center"/>
    </xf>
    <xf borderId="1" fillId="3" fontId="13" numFmtId="0" xfId="0" applyAlignment="1" applyBorder="1" applyFont="1">
      <alignment horizontal="left" vertical="bottom"/>
    </xf>
    <xf borderId="1" fillId="3" fontId="17" numFmtId="9" xfId="0" applyAlignment="1" applyBorder="1" applyFont="1" applyNumberFormat="1">
      <alignment horizontal="left" shrinkToFit="0" vertical="bottom" wrapText="1"/>
    </xf>
    <xf borderId="1" fillId="3" fontId="17" numFmtId="49" xfId="0" applyAlignment="1" applyBorder="1" applyFont="1" applyNumberFormat="1">
      <alignment horizontal="center" readingOrder="0" vertical="bottom"/>
    </xf>
    <xf borderId="13" fillId="3" fontId="17" numFmtId="0" xfId="0" applyAlignment="1" applyBorder="1" applyFont="1">
      <alignment horizontal="center" readingOrder="0" vertical="center"/>
    </xf>
    <xf borderId="13" fillId="3" fontId="18" numFmtId="0" xfId="0" applyAlignment="1" applyBorder="1" applyFont="1">
      <alignment horizontal="center" readingOrder="0" shrinkToFit="0" vertical="center" wrapText="1"/>
    </xf>
    <xf borderId="13" fillId="5" fontId="17" numFmtId="0" xfId="0" applyAlignment="1" applyBorder="1" applyFont="1">
      <alignment horizontal="center" readingOrder="0" vertical="center"/>
    </xf>
    <xf borderId="13" fillId="4" fontId="17" numFmtId="0" xfId="0" applyAlignment="1" applyBorder="1" applyFont="1">
      <alignment horizontal="center" vertical="center"/>
    </xf>
    <xf borderId="13" fillId="3" fontId="17" numFmtId="0" xfId="0" applyAlignment="1" applyBorder="1" applyFont="1">
      <alignment horizontal="center" vertical="center"/>
    </xf>
    <xf borderId="13" fillId="3" fontId="17" numFmtId="0" xfId="0" applyAlignment="1" applyBorder="1" applyFont="1">
      <alignment horizontal="center" readingOrder="0" shrinkToFit="0" vertical="center" wrapText="1"/>
    </xf>
    <xf borderId="20" fillId="0" fontId="11" numFmtId="0" xfId="0" applyBorder="1" applyFont="1"/>
    <xf borderId="1" fillId="3" fontId="17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left" readingOrder="0" vertical="bottom"/>
    </xf>
    <xf borderId="21" fillId="0" fontId="11" numFmtId="0" xfId="0" applyBorder="1" applyFont="1"/>
    <xf borderId="1" fillId="3" fontId="17" numFmtId="0" xfId="0" applyAlignment="1" applyBorder="1" applyFont="1">
      <alignment horizontal="left" readingOrder="0" shrinkToFit="0" wrapText="1"/>
    </xf>
    <xf borderId="1" fillId="3" fontId="17" numFmtId="0" xfId="0" applyAlignment="1" applyBorder="1" applyFont="1">
      <alignment horizontal="left" readingOrder="0" shrinkToFit="0" vertical="center" wrapText="1"/>
    </xf>
    <xf borderId="1" fillId="3" fontId="17" numFmtId="3" xfId="0" applyAlignment="1" applyBorder="1" applyFont="1" applyNumberFormat="1">
      <alignment horizontal="left" readingOrder="0"/>
    </xf>
    <xf borderId="1" fillId="3" fontId="17" numFmtId="164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left" readingOrder="0" shrinkToFit="0" vertical="bottom" wrapText="1"/>
    </xf>
    <xf borderId="1" fillId="3" fontId="17" numFmtId="49" xfId="0" applyAlignment="1" applyBorder="1" applyFont="1" applyNumberFormat="1">
      <alignment horizontal="center" readingOrder="0"/>
    </xf>
    <xf borderId="1" fillId="3" fontId="17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center" readingOrder="0" shrinkToFit="0" wrapText="1"/>
    </xf>
    <xf borderId="1" fillId="5" fontId="17" numFmtId="0" xfId="0" applyAlignment="1" applyBorder="1" applyFont="1">
      <alignment horizontal="center" readingOrder="0"/>
    </xf>
    <xf borderId="1" fillId="4" fontId="17" numFmtId="0" xfId="0" applyAlignment="1" applyBorder="1" applyFont="1">
      <alignment horizontal="center"/>
    </xf>
    <xf borderId="1" fillId="3" fontId="17" numFmtId="0" xfId="0" applyAlignment="1" applyBorder="1" applyFont="1">
      <alignment horizontal="center"/>
    </xf>
    <xf borderId="19" fillId="3" fontId="17" numFmtId="0" xfId="0" applyAlignment="1" applyBorder="1" applyFont="1">
      <alignment horizontal="left" readingOrder="0" shrinkToFit="0" vertical="center" wrapText="1"/>
    </xf>
    <xf borderId="13" fillId="3" fontId="17" numFmtId="0" xfId="0" applyAlignment="1" applyBorder="1" applyFont="1">
      <alignment readingOrder="0" vertical="center"/>
    </xf>
    <xf borderId="1" fillId="3" fontId="17" numFmtId="0" xfId="0" applyAlignment="1" applyBorder="1" applyFont="1">
      <alignment horizontal="left" vertical="bottom"/>
    </xf>
    <xf borderId="1" fillId="3" fontId="17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left" shrinkToFit="0" vertical="bottom" wrapText="1"/>
    </xf>
    <xf borderId="1" fillId="3" fontId="17" numFmtId="0" xfId="0" applyAlignment="1" applyBorder="1" applyFont="1">
      <alignment horizontal="left" readingOrder="0" vertical="bottom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1" fillId="3" fontId="17" numFmtId="0" xfId="0" applyAlignment="1" applyBorder="1" applyFont="1">
      <alignment horizontal="left" vertical="center"/>
    </xf>
    <xf borderId="1" fillId="3" fontId="17" numFmtId="49" xfId="0" applyAlignment="1" applyBorder="1" applyFont="1" applyNumberFormat="1">
      <alignment horizontal="center" readingOrder="0" vertical="center"/>
    </xf>
    <xf borderId="1" fillId="3" fontId="17" numFmtId="0" xfId="0" applyAlignment="1" applyBorder="1" applyFont="1">
      <alignment horizontal="center" readingOrder="0" vertical="center"/>
    </xf>
    <xf borderId="13" fillId="8" fontId="17" numFmtId="0" xfId="0" applyAlignment="1" applyBorder="1" applyFill="1" applyFont="1">
      <alignment horizontal="center" readingOrder="0" vertical="center"/>
    </xf>
    <xf borderId="19" fillId="7" fontId="17" numFmtId="0" xfId="0" applyAlignment="1" applyBorder="1" applyFont="1">
      <alignment horizontal="left" readingOrder="0" shrinkToFit="0" vertical="center" wrapText="1"/>
    </xf>
    <xf borderId="13" fillId="3" fontId="17" numFmtId="3" xfId="0" applyAlignment="1" applyBorder="1" applyFont="1" applyNumberFormat="1">
      <alignment horizontal="left" readingOrder="0"/>
    </xf>
    <xf borderId="1" fillId="3" fontId="17" numFmtId="49" xfId="0" applyAlignment="1" applyBorder="1" applyFont="1" applyNumberFormat="1">
      <alignment horizontal="center" vertical="bottom"/>
    </xf>
    <xf borderId="22" fillId="3" fontId="17" numFmtId="0" xfId="0" applyAlignment="1" applyBorder="1" applyFont="1">
      <alignment horizontal="left" readingOrder="0" shrinkToFit="0" wrapText="1"/>
    </xf>
    <xf borderId="19" fillId="7" fontId="17" numFmtId="0" xfId="0" applyAlignment="1" applyBorder="1" applyFont="1">
      <alignment horizontal="left" readingOrder="0" shrinkToFit="0" wrapText="1"/>
    </xf>
    <xf borderId="22" fillId="7" fontId="17" numFmtId="0" xfId="0" applyAlignment="1" applyBorder="1" applyFont="1">
      <alignment horizontal="left" readingOrder="0" shrinkToFit="0" wrapText="1"/>
    </xf>
    <xf borderId="1" fillId="3" fontId="17" numFmtId="165" xfId="0" applyAlignment="1" applyBorder="1" applyFont="1" applyNumberFormat="1">
      <alignment horizontal="center" readingOrder="0"/>
    </xf>
    <xf borderId="1" fillId="3" fontId="17" numFmtId="49" xfId="0" applyAlignment="1" applyBorder="1" applyFont="1" applyNumberFormat="1">
      <alignment horizontal="center" readingOrder="0" shrinkToFit="0" vertical="center" wrapText="1"/>
    </xf>
    <xf borderId="13" fillId="3" fontId="17" numFmtId="165" xfId="0" applyAlignment="1" applyBorder="1" applyFont="1" applyNumberFormat="1">
      <alignment horizontal="center" readingOrder="0" vertical="center"/>
    </xf>
    <xf borderId="1" fillId="3" fontId="13" numFmtId="0" xfId="0" applyAlignment="1" applyBorder="1" applyFont="1">
      <alignment horizontal="left" readingOrder="0" vertical="center"/>
    </xf>
    <xf borderId="1" fillId="8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/>
    </xf>
    <xf borderId="19" fillId="3" fontId="17" numFmtId="0" xfId="0" applyAlignment="1" applyBorder="1" applyFont="1">
      <alignment horizontal="left" readingOrder="0" shrinkToFit="0" wrapText="1"/>
    </xf>
    <xf borderId="13" fillId="3" fontId="17" numFmtId="0" xfId="0" applyAlignment="1" applyBorder="1" applyFont="1">
      <alignment horizontal="left" readingOrder="0" shrinkToFit="0" wrapText="1"/>
    </xf>
    <xf borderId="13" fillId="3" fontId="17" numFmtId="164" xfId="0" applyAlignment="1" applyBorder="1" applyFont="1" applyNumberFormat="1">
      <alignment horizontal="center" readingOrder="0"/>
    </xf>
    <xf borderId="1" fillId="4" fontId="17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 readingOrder="0" shrinkToFit="0" wrapText="1"/>
    </xf>
    <xf borderId="13" fillId="3" fontId="20" numFmtId="0" xfId="0" applyAlignment="1" applyBorder="1" applyFont="1">
      <alignment horizontal="center" readingOrder="0" shrinkToFit="0" wrapText="1"/>
    </xf>
    <xf borderId="13" fillId="5" fontId="17" numFmtId="0" xfId="0" applyAlignment="1" applyBorder="1" applyFont="1">
      <alignment horizontal="center" readingOrder="0"/>
    </xf>
    <xf borderId="13" fillId="8" fontId="1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/>
    </xf>
    <xf borderId="13" fillId="4" fontId="17" numFmtId="0" xfId="0" applyAlignment="1" applyBorder="1" applyFont="1">
      <alignment horizontal="center" readingOrder="0"/>
    </xf>
    <xf borderId="13" fillId="3" fontId="17" numFmtId="0" xfId="0" applyAlignment="1" applyBorder="1" applyFont="1">
      <alignment horizontal="center" readingOrder="0"/>
    </xf>
    <xf borderId="13" fillId="4" fontId="17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horizontal="left" readingOrder="0" vertical="center"/>
    </xf>
    <xf borderId="1" fillId="3" fontId="17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23" fillId="0" fontId="6" numFmtId="0" xfId="0" applyAlignment="1" applyBorder="1" applyFont="1">
      <alignment readingOrder="0"/>
    </xf>
    <xf borderId="24" fillId="0" fontId="11" numFmtId="0" xfId="0" applyBorder="1" applyFont="1"/>
    <xf borderId="25" fillId="0" fontId="11" numFmtId="0" xfId="0" applyBorder="1" applyFont="1"/>
    <xf borderId="1" fillId="3" fontId="3" numFmtId="0" xfId="0" applyAlignment="1" applyBorder="1" applyFont="1">
      <alignment horizontal="center"/>
    </xf>
    <xf borderId="26" fillId="2" fontId="21" numFmtId="0" xfId="0" applyAlignment="1" applyBorder="1" applyFont="1">
      <alignment horizontal="left" readingOrder="0"/>
    </xf>
    <xf borderId="12" fillId="2" fontId="21" numFmtId="0" xfId="0" applyAlignment="1" applyBorder="1" applyFont="1">
      <alignment horizontal="left" readingOrder="0"/>
    </xf>
    <xf borderId="27" fillId="2" fontId="21" numFmtId="0" xfId="0" applyAlignment="1" applyBorder="1" applyFont="1">
      <alignment horizontal="left" readingOrder="0"/>
    </xf>
    <xf borderId="28" fillId="0" fontId="22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left" readingOrder="0"/>
    </xf>
    <xf borderId="1" fillId="0" fontId="23" numFmtId="0" xfId="0" applyAlignment="1" applyBorder="1" applyFont="1">
      <alignment readingOrder="0"/>
    </xf>
    <xf borderId="5" fillId="0" fontId="24" numFmtId="0" xfId="0" applyAlignment="1" applyBorder="1" applyFont="1">
      <alignment horizontal="left" readingOrder="0"/>
    </xf>
    <xf borderId="1" fillId="0" fontId="25" numFmtId="0" xfId="0" applyAlignment="1" applyBorder="1" applyFont="1">
      <alignment horizontal="left" readingOrder="0"/>
    </xf>
    <xf borderId="5" fillId="0" fontId="26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1" fillId="2" fontId="28" numFmtId="0" xfId="0" applyAlignment="1" applyBorder="1" applyFont="1">
      <alignment readingOrder="0"/>
    </xf>
    <xf borderId="1" fillId="2" fontId="28" numFmtId="0" xfId="0" applyAlignment="1" applyBorder="1" applyFont="1">
      <alignment horizontal="left" readingOrder="0"/>
    </xf>
    <xf borderId="1" fillId="2" fontId="28" numFmtId="0" xfId="0" applyAlignment="1" applyBorder="1" applyFont="1">
      <alignment horizontal="center" readingOrder="0"/>
    </xf>
    <xf borderId="1" fillId="2" fontId="28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readingOrder="0" vertical="bottom"/>
    </xf>
    <xf borderId="1" fillId="8" fontId="29" numFmtId="0" xfId="0" applyAlignment="1" applyBorder="1" applyFont="1">
      <alignment readingOrder="0"/>
    </xf>
    <xf borderId="1" fillId="8" fontId="29" numFmtId="0" xfId="0" applyAlignment="1" applyBorder="1" applyFont="1">
      <alignment horizontal="left" readingOrder="0"/>
    </xf>
    <xf borderId="1" fillId="3" fontId="30" numFmtId="0" xfId="0" applyAlignment="1" applyBorder="1" applyFont="1">
      <alignment horizontal="center" readingOrder="0"/>
    </xf>
    <xf borderId="1" fillId="3" fontId="31" numFmtId="0" xfId="0" applyAlignment="1" applyBorder="1" applyFont="1">
      <alignment horizontal="center" readingOrder="0"/>
    </xf>
    <xf borderId="1" fillId="3" fontId="29" numFmtId="0" xfId="0" applyAlignment="1" applyBorder="1" applyFont="1">
      <alignment horizontal="center"/>
    </xf>
    <xf borderId="0" fillId="3" fontId="29" numFmtId="0" xfId="0" applyAlignment="1" applyFont="1">
      <alignment horizontal="center"/>
    </xf>
    <xf borderId="1" fillId="3" fontId="31" numFmtId="0" xfId="0" applyAlignment="1" applyBorder="1" applyFont="1">
      <alignment horizontal="center"/>
    </xf>
    <xf borderId="1" fillId="3" fontId="30" numFmtId="0" xfId="0" applyAlignment="1" applyBorder="1" applyFont="1">
      <alignment horizontal="center"/>
    </xf>
    <xf borderId="1" fillId="3" fontId="29" numFmtId="0" xfId="0" applyAlignment="1" applyBorder="1" applyFont="1">
      <alignment horizontal="center" readingOrder="0"/>
    </xf>
    <xf borderId="1" fillId="3" fontId="29" numFmtId="0" xfId="0" applyAlignment="1" applyBorder="1" applyFont="1">
      <alignment readingOrder="0"/>
    </xf>
    <xf borderId="1" fillId="3" fontId="29" numFmtId="0" xfId="0" applyAlignment="1" applyBorder="1" applyFont="1">
      <alignment horizontal="left" readingOrder="0"/>
    </xf>
    <xf borderId="1" fillId="3" fontId="32" numFmtId="0" xfId="0" applyAlignment="1" applyBorder="1" applyFont="1">
      <alignment horizontal="left" readingOrder="0"/>
    </xf>
    <xf borderId="0" fillId="3" fontId="31" numFmtId="0" xfId="0" applyAlignment="1" applyFont="1">
      <alignment horizontal="center" readingOrder="0"/>
    </xf>
    <xf borderId="1" fillId="9" fontId="29" numFmtId="0" xfId="0" applyAlignment="1" applyBorder="1" applyFill="1" applyFont="1">
      <alignment readingOrder="0"/>
    </xf>
    <xf borderId="1" fillId="9" fontId="29" numFmtId="0" xfId="0" applyAlignment="1" applyBorder="1" applyFont="1">
      <alignment horizontal="left" readingOrder="0"/>
    </xf>
    <xf borderId="1" fillId="10" fontId="29" numFmtId="0" xfId="0" applyAlignment="1" applyBorder="1" applyFill="1" applyFont="1">
      <alignment horizontal="left" readingOrder="0"/>
    </xf>
    <xf borderId="0" fillId="3" fontId="29" numFmtId="0" xfId="0" applyAlignment="1" applyFont="1">
      <alignment horizontal="center" readingOrder="0"/>
    </xf>
    <xf borderId="1" fillId="3" fontId="3" numFmtId="0" xfId="0" applyBorder="1" applyFont="1"/>
    <xf borderId="1" fillId="3" fontId="3" numFmtId="0" xfId="0" applyAlignment="1" applyBorder="1" applyFont="1">
      <alignment horizontal="left"/>
    </xf>
    <xf borderId="5" fillId="3" fontId="33" numFmtId="0" xfId="0" applyAlignment="1" applyBorder="1" applyFont="1">
      <alignment horizontal="center" readingOrder="0"/>
    </xf>
    <xf borderId="1" fillId="3" fontId="3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3" fontId="4" numFmtId="0" xfId="0" applyBorder="1" applyFont="1"/>
    <xf borderId="1" fillId="3" fontId="4" numFmtId="0" xfId="0" applyAlignment="1" applyBorder="1" applyFont="1">
      <alignment horizontal="left" readingOrder="0"/>
    </xf>
    <xf borderId="1" fillId="11" fontId="4" numFmtId="0" xfId="0" applyAlignment="1" applyBorder="1" applyFill="1" applyFont="1">
      <alignment horizontal="center" readingOrder="0"/>
    </xf>
    <xf borderId="1" fillId="11" fontId="4" numFmtId="0" xfId="0" applyAlignment="1" applyBorder="1" applyFont="1">
      <alignment horizontal="center"/>
    </xf>
    <xf borderId="1" fillId="12" fontId="4" numFmtId="0" xfId="0" applyAlignment="1" applyBorder="1" applyFill="1" applyFont="1">
      <alignment horizontal="center"/>
    </xf>
    <xf borderId="1" fillId="13" fontId="4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readingOrder="0"/>
    </xf>
    <xf borderId="1" fillId="1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14" fontId="4" numFmtId="0" xfId="0" applyAlignment="1" applyBorder="1" applyFill="1" applyFont="1">
      <alignment horizontal="center" readingOrder="0"/>
    </xf>
    <xf borderId="1" fillId="15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2" fontId="34" numFmtId="0" xfId="0" applyAlignment="1" applyBorder="1" applyFont="1">
      <alignment horizontal="center"/>
    </xf>
    <xf borderId="1" fillId="3" fontId="35" numFmtId="0" xfId="0" applyAlignment="1" applyBorder="1" applyFont="1">
      <alignment horizontal="center" readingOrder="0"/>
    </xf>
    <xf borderId="1" fillId="3" fontId="35" numFmtId="0" xfId="0" applyAlignment="1" applyBorder="1" applyFont="1">
      <alignment horizontal="center"/>
    </xf>
    <xf borderId="1" fillId="3" fontId="34" numFmtId="0" xfId="0" applyAlignment="1" applyBorder="1" applyFont="1">
      <alignment horizontal="center"/>
    </xf>
    <xf borderId="1" fillId="3" fontId="4" numFmtId="0" xfId="0" applyAlignment="1" applyBorder="1" applyFont="1">
      <alignment horizontal="left"/>
    </xf>
    <xf borderId="5" fillId="3" fontId="36" numFmtId="0" xfId="0" applyAlignment="1" applyBorder="1" applyFont="1">
      <alignment horizontal="left" readingOrder="0"/>
    </xf>
    <xf borderId="1" fillId="3" fontId="36" numFmtId="0" xfId="0" applyAlignment="1" applyBorder="1" applyFont="1">
      <alignment readingOrder="0"/>
    </xf>
    <xf borderId="5" fillId="3" fontId="36" numFmtId="0" xfId="0" applyAlignment="1" applyBorder="1" applyFont="1">
      <alignment horizontal="center" readingOrder="0"/>
    </xf>
    <xf borderId="1" fillId="11" fontId="37" numFmtId="0" xfId="0" applyAlignment="1" applyBorder="1" applyFont="1">
      <alignment readingOrder="0"/>
    </xf>
    <xf borderId="1" fillId="3" fontId="37" numFmtId="0" xfId="0" applyAlignment="1" applyBorder="1" applyFont="1">
      <alignment readingOrder="0"/>
    </xf>
    <xf borderId="1" fillId="3" fontId="37" numFmtId="0" xfId="0" applyBorder="1" applyFont="1"/>
    <xf borderId="1" fillId="3" fontId="37" numFmtId="0" xfId="0" applyAlignment="1" applyBorder="1" applyFont="1">
      <alignment horizontal="center" readingOrder="0"/>
    </xf>
    <xf borderId="1" fillId="12" fontId="37" numFmtId="0" xfId="0" applyAlignment="1" applyBorder="1" applyFont="1">
      <alignment readingOrder="0"/>
    </xf>
    <xf borderId="1" fillId="13" fontId="37" numFmtId="0" xfId="0" applyAlignment="1" applyBorder="1" applyFont="1">
      <alignment readingOrder="0"/>
    </xf>
    <xf borderId="1" fillId="3" fontId="36" numFmtId="0" xfId="0" applyAlignment="1" applyBorder="1" applyFont="1">
      <alignment horizontal="center" readingOrder="0"/>
    </xf>
    <xf borderId="1" fillId="14" fontId="37" numFmtId="0" xfId="0" applyAlignment="1" applyBorder="1" applyFont="1">
      <alignment readingOrder="0"/>
    </xf>
    <xf borderId="1" fillId="15" fontId="37" numFmtId="0" xfId="0" applyAlignment="1" applyBorder="1" applyFont="1">
      <alignment readingOrder="0"/>
    </xf>
    <xf borderId="1" fillId="4" fontId="37" numFmtId="0" xfId="0" applyAlignment="1" applyBorder="1" applyFont="1">
      <alignment readingOrder="0"/>
    </xf>
    <xf borderId="1" fillId="2" fontId="38" numFmtId="0" xfId="0" applyAlignment="1" applyBorder="1" applyFont="1">
      <alignment horizontal="left" readingOrder="0"/>
    </xf>
    <xf borderId="1" fillId="3" fontId="38" numFmtId="0" xfId="0" applyAlignment="1" applyBorder="1" applyFont="1">
      <alignment horizontal="left" readingOrder="0"/>
    </xf>
    <xf borderId="1" fillId="3" fontId="38" numFmtId="0" xfId="0" applyAlignment="1" applyBorder="1" applyFont="1">
      <alignment horizontal="center" readingOrder="0"/>
    </xf>
    <xf borderId="0" fillId="16" fontId="39" numFmtId="0" xfId="0" applyAlignment="1" applyFill="1" applyFont="1">
      <alignment readingOrder="0"/>
    </xf>
    <xf borderId="2" fillId="15" fontId="40" numFmtId="0" xfId="0" applyAlignment="1" applyBorder="1" applyFont="1">
      <alignment readingOrder="0"/>
    </xf>
    <xf borderId="2" fillId="15" fontId="40" numFmtId="0" xfId="0" applyAlignment="1" applyBorder="1" applyFont="1">
      <alignment horizontal="left" readingOrder="0"/>
    </xf>
    <xf borderId="2" fillId="15" fontId="40" numFmtId="0" xfId="0" applyAlignment="1" applyBorder="1" applyFont="1">
      <alignment horizontal="center" readingOrder="0"/>
    </xf>
    <xf borderId="2" fillId="0" fontId="41" numFmtId="0" xfId="0" applyAlignment="1" applyBorder="1" applyFont="1">
      <alignment readingOrder="0"/>
    </xf>
    <xf borderId="2" fillId="8" fontId="42" numFmtId="0" xfId="0" applyAlignment="1" applyBorder="1" applyFont="1">
      <alignment horizontal="left" readingOrder="0"/>
    </xf>
    <xf borderId="1" fillId="3" fontId="41" numFmtId="166" xfId="0" applyAlignment="1" applyBorder="1" applyFont="1" applyNumberFormat="1">
      <alignment horizontal="left" readingOrder="0"/>
    </xf>
    <xf borderId="1" fillId="3" fontId="42" numFmtId="0" xfId="0" applyAlignment="1" applyBorder="1" applyFont="1">
      <alignment horizontal="left" readingOrder="0"/>
    </xf>
    <xf borderId="2" fillId="3" fontId="42" numFmtId="0" xfId="0" applyAlignment="1" applyBorder="1" applyFont="1">
      <alignment horizontal="left" readingOrder="0"/>
    </xf>
    <xf borderId="5" fillId="2" fontId="43" numFmtId="0" xfId="0" applyAlignment="1" applyBorder="1" applyFont="1">
      <alignment horizontal="center" readingOrder="0"/>
    </xf>
    <xf borderId="1" fillId="3" fontId="12" numFmtId="0" xfId="0" applyAlignment="1" applyBorder="1" applyFont="1">
      <alignment readingOrder="0"/>
    </xf>
    <xf borderId="1" fillId="3" fontId="44" numFmtId="0" xfId="0" applyAlignment="1" applyBorder="1" applyFont="1">
      <alignment horizontal="center" readingOrder="0"/>
    </xf>
    <xf borderId="1" fillId="3" fontId="45" numFmtId="0" xfId="0" applyAlignment="1" applyBorder="1" applyFont="1">
      <alignment readingOrder="0"/>
    </xf>
    <xf borderId="1" fillId="3" fontId="41" numFmtId="0" xfId="0" applyAlignment="1" applyBorder="1" applyFont="1">
      <alignment horizontal="center"/>
    </xf>
    <xf borderId="1" fillId="3" fontId="46" numFmtId="0" xfId="0" applyAlignment="1" applyBorder="1" applyFont="1">
      <alignment horizontal="center"/>
    </xf>
    <xf borderId="1" fillId="3" fontId="44" numFmtId="0" xfId="0" applyAlignment="1" applyBorder="1" applyFont="1">
      <alignment readingOrder="0"/>
    </xf>
    <xf borderId="1" fillId="3" fontId="44" numFmtId="0" xfId="0" applyAlignment="1" applyBorder="1" applyFont="1">
      <alignment horizontal="center"/>
    </xf>
    <xf borderId="1" fillId="3" fontId="43" numFmtId="0" xfId="0" applyAlignment="1" applyBorder="1" applyFont="1">
      <alignment horizontal="center"/>
    </xf>
    <xf borderId="0" fillId="2" fontId="47" numFmtId="0" xfId="0" applyAlignment="1" applyFont="1">
      <alignment horizontal="center" readingOrder="0" shrinkToFit="0" wrapText="1"/>
    </xf>
    <xf borderId="1" fillId="2" fontId="47" numFmtId="0" xfId="0" applyAlignment="1" applyBorder="1" applyFont="1">
      <alignment horizontal="center" shrinkToFit="0" wrapText="1"/>
    </xf>
    <xf borderId="1" fillId="2" fontId="47" numFmtId="0" xfId="0" applyAlignment="1" applyBorder="1" applyFont="1">
      <alignment horizontal="center" readingOrder="0" shrinkToFit="0" wrapText="1"/>
    </xf>
    <xf borderId="1" fillId="2" fontId="48" numFmtId="0" xfId="0" applyAlignment="1" applyBorder="1" applyFont="1">
      <alignment horizontal="center" shrinkToFit="0" wrapText="1"/>
    </xf>
    <xf borderId="1" fillId="0" fontId="49" numFmtId="0" xfId="0" applyAlignment="1" applyBorder="1" applyFont="1">
      <alignment readingOrder="0" shrinkToFit="0" vertical="center" wrapText="1"/>
    </xf>
    <xf borderId="1" fillId="3" fontId="49" numFmtId="0" xfId="0" applyAlignment="1" applyBorder="1" applyFont="1">
      <alignment readingOrder="0" vertical="center"/>
    </xf>
    <xf borderId="1" fillId="3" fontId="49" numFmtId="0" xfId="0" applyAlignment="1" applyBorder="1" applyFont="1">
      <alignment readingOrder="0" shrinkToFit="0" vertical="center" wrapText="1"/>
    </xf>
    <xf borderId="1" fillId="3" fontId="49" numFmtId="0" xfId="0" applyAlignment="1" applyBorder="1" applyFont="1">
      <alignment shrinkToFit="0" vertical="center" wrapText="1"/>
    </xf>
    <xf borderId="1" fillId="3" fontId="50" numFmtId="0" xfId="0" applyAlignment="1" applyBorder="1" applyFont="1">
      <alignment readingOrder="0" shrinkToFit="0" vertical="center" wrapText="1"/>
    </xf>
    <xf borderId="1" fillId="3" fontId="49" numFmtId="0" xfId="0" applyAlignment="1" applyBorder="1" applyFont="1">
      <alignment vertical="center"/>
    </xf>
    <xf borderId="1" fillId="3" fontId="49" numFmtId="0" xfId="0" applyAlignment="1" applyBorder="1" applyFont="1">
      <alignment horizontal="center" vertical="center"/>
    </xf>
    <xf borderId="1" fillId="3" fontId="49" numFmtId="0" xfId="0" applyAlignment="1" applyBorder="1" applyFont="1">
      <alignment shrinkToFit="0" vertical="center" wrapText="1"/>
    </xf>
    <xf borderId="1" fillId="3" fontId="49" numFmtId="0" xfId="0" applyAlignment="1" applyBorder="1" applyFont="1">
      <alignment horizontal="center" readingOrder="0" vertical="center"/>
    </xf>
    <xf borderId="1" fillId="3" fontId="49" numFmtId="164" xfId="0" applyAlignment="1" applyBorder="1" applyFont="1" applyNumberFormat="1">
      <alignment horizontal="center" vertical="center"/>
    </xf>
    <xf borderId="1" fillId="3" fontId="49" numFmtId="0" xfId="0" applyAlignment="1" applyBorder="1" applyFont="1">
      <alignment horizontal="center" shrinkToFit="0" vertical="center" wrapText="1"/>
    </xf>
    <xf borderId="1" fillId="3" fontId="50" numFmtId="0" xfId="0" applyAlignment="1" applyBorder="1" applyFont="1">
      <alignment shrinkToFit="0" vertical="center" wrapText="1"/>
    </xf>
    <xf borderId="0" fillId="0" fontId="49" numFmtId="0" xfId="0" applyAlignment="1" applyFont="1">
      <alignment readingOrder="0" shrinkToFit="0" vertical="center" wrapText="1"/>
    </xf>
    <xf borderId="5" fillId="3" fontId="51" numFmtId="0" xfId="0" applyAlignment="1" applyBorder="1" applyFont="1">
      <alignment readingOrder="0" vertical="center"/>
    </xf>
    <xf borderId="1" fillId="2" fontId="52" numFmtId="0" xfId="0" applyAlignment="1" applyBorder="1" applyFont="1">
      <alignment readingOrder="0"/>
    </xf>
    <xf borderId="0" fillId="2" fontId="52" numFmtId="167" xfId="0" applyAlignment="1" applyFont="1" applyNumberFormat="1">
      <alignment horizontal="center" vertical="center"/>
    </xf>
    <xf borderId="0" fillId="2" fontId="52" numFmtId="0" xfId="0" applyFont="1"/>
    <xf borderId="1" fillId="2" fontId="52" numFmtId="0" xfId="0" applyBorder="1" applyFont="1"/>
    <xf borderId="1" fillId="17" fontId="52" numFmtId="0" xfId="0" applyAlignment="1" applyBorder="1" applyFill="1" applyFont="1">
      <alignment readingOrder="0"/>
    </xf>
    <xf borderId="1" fillId="0" fontId="17" numFmtId="0" xfId="0" applyAlignment="1" applyBorder="1" applyFont="1">
      <alignment readingOrder="0" vertical="bottom"/>
    </xf>
    <xf borderId="1" fillId="0" fontId="17" numFmtId="167" xfId="0" applyAlignment="1" applyBorder="1" applyFont="1" applyNumberFormat="1">
      <alignment horizontal="center" readingOrder="0" vertical="center"/>
    </xf>
    <xf borderId="1" fillId="0" fontId="53" numFmtId="0" xfId="0" applyAlignment="1" applyBorder="1" applyFont="1">
      <alignment readingOrder="0" vertical="bottom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3" fontId="17" numFmtId="0" xfId="0" applyAlignment="1" applyBorder="1" applyFont="1">
      <alignment readingOrder="0"/>
    </xf>
    <xf borderId="1" fillId="3" fontId="17" numFmtId="0" xfId="0" applyBorder="1" applyFont="1"/>
    <xf borderId="1" fillId="0" fontId="54" numFmtId="0" xfId="0" applyAlignment="1" applyBorder="1" applyFont="1">
      <alignment vertical="bottom"/>
    </xf>
    <xf borderId="1" fillId="0" fontId="55" numFmtId="0" xfId="0" applyAlignment="1" applyBorder="1" applyFont="1">
      <alignment vertical="bottom"/>
    </xf>
    <xf borderId="1" fillId="3" fontId="17" numFmtId="0" xfId="0" applyAlignment="1" applyBorder="1" applyFont="1">
      <alignment readingOrder="0" vertical="bottom"/>
    </xf>
    <xf borderId="1" fillId="3" fontId="56" numFmtId="0" xfId="0" applyAlignment="1" applyBorder="1" applyFont="1">
      <alignment readingOrder="0" vertical="bottom"/>
    </xf>
    <xf borderId="1" fillId="3" fontId="17" numFmtId="0" xfId="0" applyAlignment="1" applyBorder="1" applyFont="1">
      <alignment vertical="bottom"/>
    </xf>
    <xf borderId="1" fillId="3" fontId="17" numFmtId="0" xfId="0" applyAlignment="1" applyBorder="1" applyFont="1">
      <alignment vertical="bottom"/>
    </xf>
    <xf borderId="1" fillId="3" fontId="57" numFmtId="0" xfId="0" applyAlignment="1" applyBorder="1" applyFont="1">
      <alignment horizontal="center" readingOrder="0"/>
    </xf>
    <xf borderId="6" fillId="9" fontId="57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6" fillId="7" fontId="57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left" readingOrder="0"/>
    </xf>
    <xf borderId="13" fillId="0" fontId="3" numFmtId="0" xfId="0" applyAlignment="1" applyBorder="1" applyFont="1">
      <alignment horizontal="center" readingOrder="0"/>
    </xf>
    <xf borderId="29" fillId="0" fontId="3" numFmtId="0" xfId="0" applyAlignment="1" applyBorder="1" applyFont="1">
      <alignment readingOrder="0"/>
    </xf>
    <xf borderId="30" fillId="0" fontId="58" numFmtId="0" xfId="0" applyAlignment="1" applyBorder="1" applyFont="1">
      <alignment horizontal="center" readingOrder="0"/>
    </xf>
    <xf borderId="31" fillId="0" fontId="11" numFmtId="0" xfId="0" applyBorder="1" applyFont="1"/>
    <xf borderId="32" fillId="0" fontId="11" numFmtId="0" xfId="0" applyBorder="1" applyFont="1"/>
    <xf borderId="1" fillId="0" fontId="57" numFmtId="0" xfId="0" applyAlignment="1" applyBorder="1" applyFont="1">
      <alignment horizontal="center" readingOrder="0"/>
    </xf>
    <xf borderId="1" fillId="0" fontId="57" numFmtId="0" xfId="0" applyAlignment="1" applyBorder="1" applyFont="1">
      <alignment readingOrder="0"/>
    </xf>
    <xf borderId="6" fillId="0" fontId="57" numFmtId="0" xfId="0" applyAlignment="1" applyBorder="1" applyFont="1">
      <alignment readingOrder="0"/>
    </xf>
    <xf borderId="1" fillId="3" fontId="57" numFmtId="0" xfId="0" applyAlignment="1" applyBorder="1" applyFont="1">
      <alignment horizontal="left"/>
    </xf>
    <xf borderId="1" fillId="9" fontId="57" numFmtId="0" xfId="0" applyAlignment="1" applyBorder="1" applyFont="1">
      <alignment horizontal="center" readingOrder="0"/>
    </xf>
    <xf borderId="1" fillId="7" fontId="57" numFmtId="0" xfId="0" applyAlignment="1" applyBorder="1" applyFont="1">
      <alignment horizontal="center" readingOrder="0"/>
    </xf>
    <xf borderId="1" fillId="7" fontId="57" numFmtId="168" xfId="0" applyAlignment="1" applyBorder="1" applyFont="1" applyNumberFormat="1">
      <alignment horizontal="left" readingOrder="0"/>
    </xf>
    <xf borderId="1" fillId="7" fontId="57" numFmtId="169" xfId="0" applyAlignment="1" applyBorder="1" applyFont="1" applyNumberFormat="1">
      <alignment horizontal="center" readingOrder="0"/>
    </xf>
    <xf borderId="1" fillId="7" fontId="57" numFmtId="0" xfId="0" applyAlignment="1" applyBorder="1" applyFont="1">
      <alignment horizontal="left"/>
    </xf>
    <xf borderId="1" fillId="7" fontId="3" numFmtId="0" xfId="0" applyBorder="1" applyFont="1"/>
    <xf borderId="1" fillId="0" fontId="57" numFmtId="0" xfId="0" applyAlignment="1" applyBorder="1" applyFont="1">
      <alignment horizontal="left" readingOrder="0"/>
    </xf>
    <xf borderId="6" fillId="0" fontId="57" numFmtId="0" xfId="0" applyAlignment="1" applyBorder="1" applyFont="1">
      <alignment horizontal="left" readingOrder="0"/>
    </xf>
    <xf borderId="1" fillId="9" fontId="57" numFmtId="170" xfId="0" applyAlignment="1" applyBorder="1" applyFont="1" applyNumberFormat="1">
      <alignment horizontal="center" readingOrder="0"/>
    </xf>
    <xf borderId="1" fillId="7" fontId="57" numFmtId="0" xfId="0" applyAlignment="1" applyBorder="1" applyFont="1">
      <alignment horizontal="center"/>
    </xf>
    <xf borderId="1" fillId="7" fontId="57" numFmtId="0" xfId="0" applyAlignment="1" applyBorder="1" applyFont="1">
      <alignment horizontal="left" readingOrder="0"/>
    </xf>
    <xf borderId="1" fillId="7" fontId="2" numFmtId="0" xfId="0" applyAlignment="1" applyBorder="1" applyFont="1">
      <alignment vertical="bottom"/>
    </xf>
    <xf borderId="33" fillId="0" fontId="3" numFmtId="0" xfId="0" applyBorder="1" applyFont="1"/>
    <xf borderId="12" fillId="0" fontId="3" numFmtId="0" xfId="0" applyAlignment="1" applyBorder="1" applyFont="1">
      <alignment horizontal="left"/>
    </xf>
    <xf borderId="6" fillId="0" fontId="3" numFmtId="0" xfId="0" applyBorder="1" applyFont="1"/>
    <xf borderId="1" fillId="0" fontId="49" numFmtId="0" xfId="0" applyBorder="1" applyFont="1"/>
    <xf borderId="1" fillId="3" fontId="49" numFmtId="0" xfId="0" applyBorder="1" applyFont="1"/>
    <xf borderId="1" fillId="3" fontId="49" numFmtId="9" xfId="0" applyAlignment="1" applyBorder="1" applyFont="1" applyNumberFormat="1">
      <alignment horizontal="center"/>
    </xf>
    <xf borderId="1" fillId="0" fontId="50" numFmtId="0" xfId="0" applyBorder="1" applyFont="1"/>
    <xf borderId="1" fillId="3" fontId="50" numFmtId="0" xfId="0" applyAlignment="1" applyBorder="1" applyFont="1">
      <alignment horizontal="center" readingOrder="0"/>
    </xf>
    <xf borderId="1" fillId="3" fontId="50" numFmtId="0" xfId="0" applyBorder="1" applyFont="1"/>
    <xf borderId="1" fillId="3" fontId="50" numFmtId="9" xfId="0" applyAlignment="1" applyBorder="1" applyFont="1" applyNumberFormat="1">
      <alignment horizontal="center" readingOrder="0"/>
    </xf>
    <xf borderId="1" fillId="3" fontId="50" numFmtId="0" xfId="0" applyAlignment="1" applyBorder="1" applyFont="1">
      <alignment readingOrder="0"/>
    </xf>
    <xf borderId="1" fillId="3" fontId="50" numFmtId="9" xfId="0" applyAlignment="1" applyBorder="1" applyFont="1" applyNumberFormat="1">
      <alignment horizontal="center"/>
    </xf>
    <xf borderId="1" fillId="3" fontId="49" numFmtId="0" xfId="0" applyAlignment="1" applyBorder="1" applyFont="1">
      <alignment readingOrder="0"/>
    </xf>
    <xf borderId="1" fillId="3" fontId="49" numFmtId="0" xfId="0" applyAlignment="1" applyBorder="1" applyFont="1">
      <alignment horizontal="center" readingOrder="0"/>
    </xf>
    <xf borderId="1" fillId="0" fontId="49" numFmtId="0" xfId="0" applyAlignment="1" applyBorder="1" applyFont="1">
      <alignment readingOrder="0"/>
    </xf>
    <xf borderId="1" fillId="3" fontId="50" numFmtId="0" xfId="0" applyAlignment="1" applyBorder="1" applyFont="1">
      <alignment horizontal="center"/>
    </xf>
    <xf borderId="1" fillId="3" fontId="59" numFmtId="0" xfId="0" applyBorder="1" applyFont="1"/>
    <xf borderId="5" fillId="3" fontId="60" numFmtId="0" xfId="0" applyAlignment="1" applyBorder="1" applyFont="1">
      <alignment horizontal="center" readingOrder="0"/>
    </xf>
    <xf borderId="1" fillId="3" fontId="60" numFmtId="0" xfId="0" applyAlignment="1" applyBorder="1" applyFont="1">
      <alignment horizontal="center" readingOrder="0"/>
    </xf>
    <xf borderId="1" fillId="3" fontId="61" numFmtId="0" xfId="0" applyAlignment="1" applyBorder="1" applyFont="1">
      <alignment horizontal="center" readingOrder="0" shrinkToFit="0" vertical="bottom" wrapText="0"/>
    </xf>
    <xf borderId="5" fillId="3" fontId="62" numFmtId="0" xfId="0" applyAlignment="1" applyBorder="1" applyFont="1">
      <alignment horizontal="center" readingOrder="0" shrinkToFit="0" vertical="bottom" wrapText="0"/>
    </xf>
    <xf borderId="1" fillId="3" fontId="62" numFmtId="0" xfId="0" applyAlignment="1" applyBorder="1" applyFont="1">
      <alignment shrinkToFit="0" vertical="bottom" wrapText="0"/>
    </xf>
    <xf borderId="1" fillId="3" fontId="62" numFmtId="0" xfId="0" applyAlignment="1" applyBorder="1" applyFont="1">
      <alignment horizontal="center" readingOrder="0" shrinkToFit="0" vertical="bottom" wrapText="0"/>
    </xf>
    <xf borderId="1" fillId="3" fontId="63" numFmtId="0" xfId="0" applyAlignment="1" applyBorder="1" applyFont="1">
      <alignment horizontal="center" readingOrder="0" shrinkToFit="0" vertical="bottom" wrapText="0"/>
    </xf>
    <xf borderId="1" fillId="3" fontId="64" numFmtId="0" xfId="0" applyAlignment="1" applyBorder="1" applyFont="1">
      <alignment horizontal="center" readingOrder="0" shrinkToFit="0" vertical="bottom" wrapText="0"/>
    </xf>
    <xf borderId="1" fillId="3" fontId="65" numFmtId="0" xfId="0" applyAlignment="1" applyBorder="1" applyFont="1">
      <alignment horizontal="center" readingOrder="0" shrinkToFit="0" vertical="bottom" wrapText="0"/>
    </xf>
    <xf borderId="1" fillId="3" fontId="65" numFmtId="0" xfId="0" applyAlignment="1" applyBorder="1" applyFont="1">
      <alignment horizontal="center" shrinkToFit="0" vertical="bottom" wrapText="0"/>
    </xf>
    <xf borderId="1" fillId="3" fontId="63" numFmtId="0" xfId="0" applyAlignment="1" applyBorder="1" applyFont="1">
      <alignment horizontal="center" shrinkToFit="0" vertical="bottom" wrapText="0"/>
    </xf>
    <xf borderId="1" fillId="3" fontId="64" numFmtId="0" xfId="0" applyAlignment="1" applyBorder="1" applyFont="1">
      <alignment horizontal="center" shrinkToFit="0" vertical="bottom" wrapText="0"/>
    </xf>
    <xf borderId="1" fillId="18" fontId="65" numFmtId="0" xfId="0" applyAlignment="1" applyBorder="1" applyFill="1" applyFont="1">
      <alignment horizontal="center" readingOrder="0" shrinkToFit="0" vertical="bottom" wrapText="0"/>
    </xf>
    <xf borderId="1" fillId="4" fontId="65" numFmtId="0" xfId="0" applyAlignment="1" applyBorder="1" applyFont="1">
      <alignment horizontal="center" readingOrder="0" shrinkToFit="0" vertical="bottom" wrapText="0"/>
    </xf>
    <xf borderId="1" fillId="10" fontId="65" numFmtId="0" xfId="0" applyAlignment="1" applyBorder="1" applyFont="1">
      <alignment horizontal="center" readingOrder="0" shrinkToFit="0" vertical="bottom" wrapText="0"/>
    </xf>
    <xf borderId="1" fillId="9" fontId="65" numFmtId="0" xfId="0" applyAlignment="1" applyBorder="1" applyFont="1">
      <alignment horizontal="center" readingOrder="0" shrinkToFit="0" vertical="bottom" wrapText="0"/>
    </xf>
    <xf borderId="1" fillId="19" fontId="65" numFmtId="0" xfId="0" applyAlignment="1" applyBorder="1" applyFill="1" applyFont="1">
      <alignment horizontal="center" readingOrder="0" shrinkToFit="0" vertical="bottom" wrapText="0"/>
    </xf>
    <xf borderId="1" fillId="20" fontId="65" numFmtId="0" xfId="0" applyAlignment="1" applyBorder="1" applyFill="1" applyFont="1">
      <alignment horizontal="center" readingOrder="0" shrinkToFit="0" vertical="bottom" wrapText="0"/>
    </xf>
    <xf borderId="1" fillId="5" fontId="65" numFmtId="0" xfId="0" applyAlignment="1" applyBorder="1" applyFont="1">
      <alignment horizontal="center" readingOrder="0" shrinkToFit="0" vertical="bottom" wrapText="0"/>
    </xf>
    <xf borderId="1" fillId="15" fontId="65" numFmtId="0" xfId="0" applyAlignment="1" applyBorder="1" applyFont="1">
      <alignment horizontal="center" readingOrder="0" shrinkToFit="0" vertical="bottom" wrapText="0"/>
    </xf>
    <xf borderId="1" fillId="3" fontId="66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readingOrder="0"/>
    </xf>
    <xf borderId="13" fillId="3" fontId="49" numFmtId="0" xfId="0" applyAlignment="1" applyBorder="1" applyFont="1">
      <alignment readingOrder="0"/>
    </xf>
    <xf borderId="1" fillId="3" fontId="50" numFmtId="171" xfId="0" applyAlignment="1" applyBorder="1" applyFont="1" applyNumberFormat="1">
      <alignment horizontal="center" readingOrder="0"/>
    </xf>
    <xf borderId="1" fillId="10" fontId="49" numFmtId="0" xfId="0" applyAlignment="1" applyBorder="1" applyFont="1">
      <alignment readingOrder="0"/>
    </xf>
    <xf borderId="5" fillId="3" fontId="65" numFmtId="0" xfId="0" applyAlignment="1" applyBorder="1" applyFont="1">
      <alignment horizontal="left" readingOrder="0" shrinkToFit="0" vertical="bottom" wrapText="0"/>
    </xf>
    <xf borderId="6" fillId="3" fontId="62" numFmtId="0" xfId="0" applyAlignment="1" applyBorder="1" applyFont="1">
      <alignment horizontal="left" readingOrder="0" shrinkToFit="0" vertical="bottom" wrapText="0"/>
    </xf>
    <xf borderId="1" fillId="3" fontId="65" numFmtId="0" xfId="0" applyAlignment="1" applyBorder="1" applyFont="1">
      <alignment horizontal="left" readingOrder="0" shrinkToFit="0" vertical="bottom" wrapText="0"/>
    </xf>
    <xf borderId="1" fillId="2" fontId="47" numFmtId="0" xfId="0" applyAlignment="1" applyBorder="1" applyFont="1">
      <alignment horizontal="center" readingOrder="0" shrinkToFit="0" vertical="bottom" wrapText="0"/>
    </xf>
    <xf borderId="5" fillId="3" fontId="49" numFmtId="0" xfId="0" applyAlignment="1" applyBorder="1" applyFont="1">
      <alignment readingOrder="0"/>
    </xf>
    <xf borderId="6" fillId="3" fontId="50" numFmtId="0" xfId="0" applyAlignment="1" applyBorder="1" applyFont="1">
      <alignment readingOrder="0"/>
    </xf>
    <xf borderId="1" fillId="3" fontId="49" numFmtId="0" xfId="0" applyAlignment="1" applyBorder="1" applyFont="1">
      <alignment horizontal="left" readingOrder="0"/>
    </xf>
    <xf borderId="6" fillId="3" fontId="49" numFmtId="0" xfId="0" applyAlignment="1" applyBorder="1" applyFont="1">
      <alignment readingOrder="0"/>
    </xf>
    <xf borderId="1" fillId="6" fontId="65" numFmtId="0" xfId="0" applyAlignment="1" applyBorder="1" applyFont="1">
      <alignment horizontal="center" readingOrder="0" shrinkToFit="0" vertical="bottom" wrapText="0"/>
    </xf>
    <xf borderId="1" fillId="21" fontId="64" numFmtId="0" xfId="0" applyAlignment="1" applyBorder="1" applyFill="1" applyFont="1">
      <alignment horizontal="center" readingOrder="0" shrinkToFit="0" vertical="bottom" wrapText="0"/>
    </xf>
    <xf borderId="12" fillId="3" fontId="49" numFmtId="0" xfId="0" applyAlignment="1" applyBorder="1" applyFont="1">
      <alignment readingOrder="0"/>
    </xf>
    <xf borderId="1" fillId="4" fontId="64" numFmtId="0" xfId="0" applyAlignment="1" applyBorder="1" applyFont="1">
      <alignment horizontal="center" readingOrder="0" shrinkToFit="0" vertical="bottom" wrapText="0"/>
    </xf>
    <xf borderId="1" fillId="5" fontId="47" numFmtId="0" xfId="0" applyAlignment="1" applyBorder="1" applyFont="1">
      <alignment horizontal="center" readingOrder="0" shrinkToFit="0" vertical="bottom" wrapText="0"/>
    </xf>
    <xf borderId="1" fillId="22" fontId="65" numFmtId="0" xfId="0" applyAlignment="1" applyBorder="1" applyFill="1" applyFont="1">
      <alignment horizontal="center" readingOrder="0" shrinkToFit="0" vertical="bottom" wrapText="0"/>
    </xf>
    <xf borderId="1" fillId="20" fontId="47" numFmtId="0" xfId="0" applyAlignment="1" applyBorder="1" applyFont="1">
      <alignment horizontal="center" readingOrder="0" shrinkToFit="0" vertical="bottom" wrapText="0"/>
    </xf>
    <xf borderId="1" fillId="3" fontId="57" numFmtId="0" xfId="0" applyAlignment="1" applyBorder="1" applyFont="1">
      <alignment readingOrder="0"/>
    </xf>
    <xf borderId="1" fillId="23" fontId="47" numFmtId="0" xfId="0" applyAlignment="1" applyBorder="1" applyFill="1" applyFont="1">
      <alignment horizontal="center" readingOrder="0" shrinkToFit="0" vertical="bottom" wrapText="0"/>
    </xf>
    <xf borderId="1" fillId="24" fontId="47" numFmtId="0" xfId="0" applyAlignment="1" applyBorder="1" applyFill="1" applyFont="1">
      <alignment horizontal="center" readingOrder="0" shrinkToFit="0" vertical="bottom" wrapText="0"/>
    </xf>
    <xf borderId="5" fillId="3" fontId="67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1" fillId="3" fontId="68" numFmtId="0" xfId="0" applyAlignment="1" applyBorder="1" applyFont="1">
      <alignment horizontal="left" readingOrder="0" shrinkToFit="0" vertical="center" wrapText="0"/>
    </xf>
    <xf borderId="1" fillId="3" fontId="68" numFmtId="0" xfId="0" applyAlignment="1" applyBorder="1" applyFont="1">
      <alignment horizontal="left" shrinkToFit="0" vertical="center" wrapText="0"/>
    </xf>
    <xf borderId="1" fillId="3" fontId="68" numFmtId="0" xfId="0" applyAlignment="1" applyBorder="1" applyFont="1">
      <alignment shrinkToFit="0" vertical="center" wrapText="0"/>
    </xf>
    <xf borderId="1" fillId="3" fontId="68" numFmtId="0" xfId="0" applyAlignment="1" applyBorder="1" applyFont="1">
      <alignment readingOrder="0" shrinkToFit="0" vertical="center" wrapText="0"/>
    </xf>
    <xf borderId="1" fillId="3" fontId="67" numFmtId="0" xfId="0" applyAlignment="1" applyBorder="1" applyFont="1">
      <alignment horizontal="center" readingOrder="0" shrinkToFit="0" vertical="center" wrapText="1"/>
    </xf>
    <xf borderId="0" fillId="3" fontId="69" numFmtId="0" xfId="0" applyAlignment="1" applyFont="1">
      <alignment horizontal="center" readingOrder="0" shrinkToFit="0" vertical="center" wrapText="0"/>
    </xf>
    <xf borderId="1" fillId="3" fontId="70" numFmtId="0" xfId="0" applyAlignment="1" applyBorder="1" applyFont="1">
      <alignment shrinkToFit="0" vertical="center" wrapText="0"/>
    </xf>
    <xf borderId="1" fillId="3" fontId="71" numFmtId="0" xfId="0" applyAlignment="1" applyBorder="1" applyFont="1">
      <alignment shrinkToFit="0" vertical="center" wrapText="0"/>
    </xf>
    <xf borderId="1" fillId="3" fontId="70" numFmtId="0" xfId="0" applyAlignment="1" applyBorder="1" applyFont="1">
      <alignment readingOrder="0" shrinkToFit="0" vertical="center" wrapText="0"/>
    </xf>
    <xf borderId="0" fillId="3" fontId="72" numFmtId="10" xfId="0" applyAlignment="1" applyFont="1" applyNumberFormat="1">
      <alignment horizontal="center" shrinkToFit="0" vertical="center" wrapText="0"/>
    </xf>
    <xf borderId="1" fillId="3" fontId="73" numFmtId="0" xfId="0" applyAlignment="1" applyBorder="1" applyFont="1">
      <alignment shrinkToFit="0" vertical="center" wrapText="0"/>
    </xf>
    <xf borderId="1" fillId="3" fontId="17" numFmtId="0" xfId="0" applyAlignment="1" applyBorder="1" applyFont="1">
      <alignment readingOrder="0" shrinkToFit="0" vertical="center" wrapText="0"/>
    </xf>
    <xf borderId="1" fillId="3" fontId="74" numFmtId="0" xfId="0" applyAlignment="1" applyBorder="1" applyFont="1">
      <alignment shrinkToFit="0" vertical="center" wrapText="0"/>
    </xf>
    <xf borderId="1" fillId="3" fontId="73" numFmtId="0" xfId="0" applyAlignment="1" applyBorder="1" applyFont="1">
      <alignment readingOrder="0" shrinkToFit="0" vertical="center" wrapText="0"/>
    </xf>
    <xf borderId="1" fillId="3" fontId="17" numFmtId="0" xfId="0" applyAlignment="1" applyBorder="1" applyFont="1">
      <alignment shrinkToFit="0" vertical="center" wrapText="0"/>
    </xf>
    <xf borderId="1" fillId="3" fontId="67" numFmtId="0" xfId="0" applyAlignment="1" applyBorder="1" applyFont="1">
      <alignment horizontal="center" readingOrder="0" shrinkToFit="0" vertical="center" wrapText="0"/>
    </xf>
    <xf borderId="1" fillId="3" fontId="72" numFmtId="0" xfId="0" applyAlignment="1" applyBorder="1" applyFont="1">
      <alignment readingOrder="0" shrinkToFit="0" vertical="center" wrapText="0"/>
    </xf>
    <xf borderId="1" fillId="3" fontId="74" numFmtId="0" xfId="0" applyAlignment="1" applyBorder="1" applyFont="1">
      <alignment readingOrder="0" shrinkToFit="0" vertical="center" wrapText="0"/>
    </xf>
    <xf borderId="1" fillId="3" fontId="72" numFmtId="0" xfId="0" applyAlignment="1" applyBorder="1" applyFont="1">
      <alignment shrinkToFit="0" vertical="center" wrapText="0"/>
    </xf>
    <xf borderId="1" fillId="3" fontId="71" numFmtId="0" xfId="0" applyAlignment="1" applyBorder="1" applyFont="1">
      <alignment readingOrder="0" shrinkToFit="0" vertical="center" wrapText="0"/>
    </xf>
    <xf borderId="1" fillId="3" fontId="75" numFmtId="0" xfId="0" applyAlignment="1" applyBorder="1" applyFont="1">
      <alignment readingOrder="0" shrinkToFit="0" vertical="center" wrapText="0"/>
    </xf>
    <xf borderId="1" fillId="3" fontId="17" numFmtId="0" xfId="0" applyAlignment="1" applyBorder="1" applyFont="1">
      <alignment horizontal="left" readingOrder="0" shrinkToFit="0" vertical="center" wrapText="0"/>
    </xf>
    <xf borderId="1" fillId="3" fontId="17" numFmtId="0" xfId="0" applyAlignment="1" applyBorder="1" applyFont="1">
      <alignment horizontal="left" shrinkToFit="0" vertical="center" wrapText="0"/>
    </xf>
    <xf borderId="1" fillId="3" fontId="75" numFmtId="0" xfId="0" applyAlignment="1" applyBorder="1" applyFont="1">
      <alignment shrinkToFit="0" vertical="center" wrapText="0"/>
    </xf>
    <xf borderId="1" fillId="3" fontId="68" numFmtId="0" xfId="0" applyAlignment="1" applyBorder="1" applyFont="1">
      <alignment readingOrder="0" shrinkToFit="0" vertical="center" wrapText="0"/>
    </xf>
    <xf borderId="0" fillId="0" fontId="76" numFmtId="0" xfId="0" applyAlignment="1" applyFont="1">
      <alignment horizontal="left" readingOrder="0" vertical="center"/>
    </xf>
    <xf borderId="34" fillId="0" fontId="76" numFmtId="0" xfId="0" applyAlignment="1" applyBorder="1" applyFont="1">
      <alignment horizontal="left" readingOrder="0" vertical="center"/>
    </xf>
    <xf borderId="29" fillId="0" fontId="11" numFmtId="0" xfId="0" applyBorder="1" applyFont="1"/>
    <xf borderId="0" fillId="0" fontId="77" numFmtId="0" xfId="0" applyAlignment="1" applyFont="1">
      <alignment readingOrder="0" shrinkToFit="0" vertical="center" wrapText="1"/>
    </xf>
    <xf borderId="35" fillId="0" fontId="11" numFmtId="0" xfId="0" applyBorder="1" applyFont="1"/>
    <xf borderId="0" fillId="0" fontId="78" numFmtId="0" xfId="0" applyAlignment="1" applyFont="1">
      <alignment horizontal="left" readingOrder="0" vertical="center"/>
    </xf>
    <xf borderId="27" fillId="0" fontId="11" numFmtId="0" xfId="0" applyBorder="1" applyFont="1"/>
    <xf borderId="36" fillId="0" fontId="11" numFmtId="0" xfId="0" applyBorder="1" applyFont="1"/>
    <xf borderId="0" fillId="25" fontId="28" numFmtId="0" xfId="0" applyAlignment="1" applyFill="1" applyFont="1">
      <alignment horizontal="center" readingOrder="0" vertical="center"/>
    </xf>
    <xf borderId="13" fillId="25" fontId="28" numFmtId="0" xfId="0" applyAlignment="1" applyBorder="1" applyFont="1">
      <alignment horizontal="left" readingOrder="0" vertical="center"/>
    </xf>
    <xf borderId="13" fillId="25" fontId="28" numFmtId="0" xfId="0" applyAlignment="1" applyBorder="1" applyFont="1">
      <alignment horizontal="center" readingOrder="0" vertical="center"/>
    </xf>
    <xf borderId="13" fillId="25" fontId="28" numFmtId="0" xfId="0" applyAlignment="1" applyBorder="1" applyFont="1">
      <alignment horizontal="center" readingOrder="0" shrinkToFit="0" vertical="center" wrapText="1"/>
    </xf>
    <xf borderId="14" fillId="25" fontId="28" numFmtId="0" xfId="0" applyAlignment="1" applyBorder="1" applyFont="1">
      <alignment horizontal="center" readingOrder="0" vertical="center"/>
    </xf>
    <xf borderId="0" fillId="4" fontId="79" numFmtId="0" xfId="0" applyAlignment="1" applyFont="1">
      <alignment readingOrder="0" vertical="center"/>
    </xf>
    <xf borderId="0" fillId="26" fontId="29" numFmtId="0" xfId="0" applyAlignment="1" applyFill="1" applyFont="1">
      <alignment readingOrder="0" textRotation="90" vertical="center"/>
    </xf>
    <xf borderId="37" fillId="4" fontId="79" numFmtId="0" xfId="0" applyAlignment="1" applyBorder="1" applyFont="1">
      <alignment readingOrder="0" vertical="center"/>
    </xf>
    <xf borderId="0" fillId="4" fontId="12" numFmtId="0" xfId="0" applyAlignment="1" applyFont="1">
      <alignment horizontal="left" vertical="center"/>
    </xf>
    <xf borderId="38" fillId="4" fontId="3" numFmtId="0" xfId="0" applyAlignment="1" applyBorder="1" applyFont="1">
      <alignment readingOrder="0" shrinkToFit="0" vertical="center" wrapText="1"/>
    </xf>
    <xf borderId="39" fillId="4" fontId="40" numFmtId="0" xfId="0" applyAlignment="1" applyBorder="1" applyFont="1">
      <alignment horizontal="center" vertical="center"/>
    </xf>
    <xf borderId="40" fillId="0" fontId="29" numFmtId="0" xfId="0" applyAlignment="1" applyBorder="1" applyFont="1">
      <alignment readingOrder="0" vertical="center"/>
    </xf>
    <xf borderId="40" fillId="0" fontId="2" numFmtId="0" xfId="0" applyBorder="1" applyFont="1"/>
    <xf borderId="40" fillId="3" fontId="80" numFmtId="0" xfId="0" applyAlignment="1" applyBorder="1" applyFont="1">
      <alignment readingOrder="0" shrinkToFit="0" vertical="center" wrapText="1"/>
    </xf>
    <xf borderId="40" fillId="0" fontId="29" numFmtId="0" xfId="0" applyAlignment="1" applyBorder="1" applyFont="1">
      <alignment horizontal="center" readingOrder="0" vertical="center"/>
    </xf>
    <xf borderId="40" fillId="0" fontId="77" numFmtId="172" xfId="0" applyAlignment="1" applyBorder="1" applyFont="1" applyNumberFormat="1">
      <alignment horizontal="center" readingOrder="0" shrinkToFit="0" vertical="center" wrapText="1"/>
    </xf>
    <xf borderId="40" fillId="0" fontId="77" numFmtId="0" xfId="0" applyAlignment="1" applyBorder="1" applyFont="1">
      <alignment horizontal="center" readingOrder="0" shrinkToFit="0" vertical="center" wrapText="1"/>
    </xf>
    <xf borderId="40" fillId="0" fontId="29" numFmtId="0" xfId="0" applyBorder="1" applyFont="1"/>
    <xf borderId="40" fillId="3" fontId="81" numFmtId="0" xfId="0" applyAlignment="1" applyBorder="1" applyFont="1">
      <alignment shrinkToFit="0" wrapText="1"/>
    </xf>
    <xf borderId="40" fillId="0" fontId="29" numFmtId="0" xfId="0" applyAlignment="1" applyBorder="1" applyFont="1">
      <alignment horizontal="center"/>
    </xf>
    <xf borderId="40" fillId="0" fontId="77" numFmtId="172" xfId="0" applyAlignment="1" applyBorder="1" applyFont="1" applyNumberFormat="1">
      <alignment horizontal="center" readingOrder="0" shrinkToFit="0" wrapText="1"/>
    </xf>
    <xf borderId="40" fillId="0" fontId="29" numFmtId="0" xfId="0" applyAlignment="1" applyBorder="1" applyFont="1">
      <alignment horizontal="center" readingOrder="0"/>
    </xf>
    <xf borderId="40" fillId="0" fontId="29" numFmtId="0" xfId="0" applyAlignment="1" applyBorder="1" applyFont="1">
      <alignment readingOrder="0"/>
    </xf>
    <xf borderId="0" fillId="0" fontId="29" numFmtId="0" xfId="0" applyAlignment="1" applyFont="1">
      <alignment readingOrder="0" vertical="center"/>
    </xf>
    <xf borderId="40" fillId="0" fontId="29" numFmtId="0" xfId="0" applyAlignment="1" applyBorder="1" applyFont="1">
      <alignment readingOrder="0" shrinkToFit="0" vertical="center" wrapText="1"/>
    </xf>
    <xf borderId="40" fillId="0" fontId="2" numFmtId="0" xfId="0" applyAlignment="1" applyBorder="1" applyFont="1">
      <alignment horizontal="center" vertical="center"/>
    </xf>
    <xf borderId="40" fillId="3" fontId="82" numFmtId="0" xfId="0" applyAlignment="1" applyBorder="1" applyFont="1">
      <alignment readingOrder="0" shrinkToFit="0" vertical="center" wrapText="1"/>
    </xf>
    <xf borderId="40" fillId="0" fontId="2" numFmtId="0" xfId="0" applyAlignment="1" applyBorder="1" applyFont="1">
      <alignment vertical="center"/>
    </xf>
    <xf borderId="41" fillId="4" fontId="79" numFmtId="0" xfId="0" applyAlignment="1" applyBorder="1" applyFont="1">
      <alignment readingOrder="0" vertical="center"/>
    </xf>
    <xf borderId="41" fillId="27" fontId="29" numFmtId="0" xfId="0" applyAlignment="1" applyBorder="1" applyFill="1" applyFont="1">
      <alignment readingOrder="0" textRotation="90" vertical="center"/>
    </xf>
    <xf borderId="0" fillId="4" fontId="12" numFmtId="0" xfId="0" applyAlignment="1" applyFont="1">
      <alignment horizontal="center" vertical="center"/>
    </xf>
    <xf borderId="42" fillId="0" fontId="11" numFmtId="0" xfId="0" applyBorder="1" applyFont="1"/>
    <xf borderId="40" fillId="0" fontId="77" numFmtId="0" xfId="0" applyAlignment="1" applyBorder="1" applyFont="1">
      <alignment readingOrder="0" shrinkToFit="0" vertical="center" wrapText="1"/>
    </xf>
    <xf borderId="43" fillId="0" fontId="11" numFmtId="0" xfId="0" applyBorder="1" applyFont="1"/>
    <xf borderId="41" fillId="28" fontId="29" numFmtId="0" xfId="0" applyAlignment="1" applyBorder="1" applyFill="1" applyFont="1">
      <alignment horizontal="center" readingOrder="0" shrinkToFit="0" textRotation="90" vertical="center" wrapText="1"/>
    </xf>
    <xf borderId="44" fillId="4" fontId="12" numFmtId="0" xfId="0" applyAlignment="1" applyBorder="1" applyFont="1">
      <alignment horizontal="left" vertical="center"/>
    </xf>
    <xf borderId="39" fillId="4" fontId="79" numFmtId="0" xfId="0" applyAlignment="1" applyBorder="1" applyFont="1">
      <alignment horizontal="center" vertical="center"/>
    </xf>
    <xf borderId="44" fillId="4" fontId="12" numFmtId="0" xfId="0" applyAlignment="1" applyBorder="1" applyFont="1">
      <alignment horizontal="center" vertical="center"/>
    </xf>
    <xf borderId="0" fillId="0" fontId="29" numFmtId="0" xfId="0" applyAlignment="1" applyFont="1">
      <alignment readingOrder="0" shrinkToFit="0" vertical="center" wrapText="1"/>
    </xf>
    <xf borderId="40" fillId="3" fontId="29" numFmtId="0" xfId="0" applyAlignment="1" applyBorder="1" applyFont="1">
      <alignment readingOrder="0" vertical="center"/>
    </xf>
    <xf borderId="0" fillId="29" fontId="29" numFmtId="0" xfId="0" applyAlignment="1" applyFill="1" applyFont="1">
      <alignment readingOrder="0" textRotation="90" vertical="center"/>
    </xf>
    <xf borderId="45" fillId="4" fontId="79" numFmtId="0" xfId="0" applyAlignment="1" applyBorder="1" applyFont="1">
      <alignment readingOrder="0" vertical="center"/>
    </xf>
    <xf borderId="45" fillId="4" fontId="3" numFmtId="0" xfId="0" applyAlignment="1" applyBorder="1" applyFont="1">
      <alignment readingOrder="0" shrinkToFit="0" vertical="center" wrapText="1"/>
    </xf>
    <xf borderId="46" fillId="4" fontId="79" numFmtId="0" xfId="0" applyAlignment="1" applyBorder="1" applyFont="1">
      <alignment horizontal="center" vertical="center"/>
    </xf>
    <xf borderId="40" fillId="0" fontId="77" numFmtId="0" xfId="0" applyAlignment="1" applyBorder="1" applyFont="1">
      <alignment horizontal="left" readingOrder="0" shrinkToFit="0" vertical="center" wrapText="1"/>
    </xf>
    <xf borderId="41" fillId="30" fontId="29" numFmtId="0" xfId="0" applyAlignment="1" applyBorder="1" applyFill="1" applyFont="1">
      <alignment horizontal="center" readingOrder="0" shrinkToFit="0" textRotation="90" vertical="center" wrapText="1"/>
    </xf>
    <xf borderId="0" fillId="3" fontId="82" numFmtId="0" xfId="0" applyAlignment="1" applyFont="1">
      <alignment readingOrder="0" shrinkToFit="0" vertical="center" wrapText="1"/>
    </xf>
  </cellXfs>
  <cellStyles count="1">
    <cellStyle xfId="0" name="Normal" builtinId="0"/>
  </cellStyles>
  <dxfs count="11">
    <dxf>
      <font>
        <color rgb="FF000000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94FF3F"/>
          <bgColor rgb="FF94FF3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073763"/>
        </left>
        <right style="thin">
          <color rgb="FF073763"/>
        </right>
        <top style="thin">
          <color rgb="FF073763"/>
        </top>
        <bottom style="thin">
          <color rgb="FF073763"/>
        </bottom>
      </border>
    </dxf>
    <dxf>
      <font/>
      <fill>
        <patternFill patternType="solid">
          <fgColor rgb="FFFFE599"/>
          <bgColor rgb="FFFFE599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4" pivot="0" name="DataGOV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2789f8c-5e08-46e8-8f63-70056968cca5}">
    <Anchor>
      <Comment id="{5abe95f5-0704-4942-9ca6-007d2a02e20d}"/>
    </Anchor>
    <History>
      <Event time="2026-04-15T20:40:36.00" id="{239ff42c-f534-4855-89a9-27fdbdcc9545}">
        <Attribution userId="placeholder@email.com" userName="Sabrina Mendes" userProvider="google-sheets"/>
        <Anchor>
          <Comment id="{5abe95f5-0704-4942-9ca6-007d2a02e20d}"/>
        </Anchor>
        <Create/>
      </Event>
      <Event time="2026-04-15T20:40:36.00" id="{bd620742-4e4e-436c-8f5f-28fb317d6245}">
        <Attribution userId="placeholder@email.com" userName="Sabrina Mendes" userProvider="google-sheets"/>
        <Anchor>
          <Comment id="{5abe95f5-0704-4942-9ca6-007d2a02e20d}"/>
        </Anchor>
        <Assign userId="andreza.pimenta@neon.com.br" userName="andreza.pimenta@neon.com.br" userProvider="google-sheets"/>
      </Event>
    </History>
  </Task>
  <Task id="{dab671d0-fe98-467a-9291-06688da8a720}">
    <Anchor>
      <Comment id="{fbaa56aa-b87e-4651-a4ba-8c988210cd97}"/>
    </Anchor>
    <History>
      <Event time="2026-05-06T23:23:27.00" id="{f0b1fa5a-38aa-4bad-8fbf-a5ce7c09ef3c}">
        <Attribution userId="placeholder@email.com" userName="Stephanie Da Costa Calandrine" userProvider="google-sheets"/>
        <Anchor>
          <Comment id="{fbaa56aa-b87e-4651-a4ba-8c988210cd97}"/>
        </Anchor>
        <Create/>
      </Event>
      <Event time="2026-05-06T23:23:27.00" id="{66d383cb-bb1b-4eb3-9a0a-446b636c9313}">
        <Attribution userId="placeholder@email.com" userName="Stephanie Da Costa Calandrine" userProvider="google-sheets"/>
        <Anchor>
          <Comment id="{fbaa56aa-b87e-4651-a4ba-8c988210cd97}"/>
        </Anchor>
        <Assign userId="andreza.pimenta@neon.com.br" userName="andreza.pimenta@neon.com.br" userProvider="google-sheets"/>
      </Event>
    </History>
  </Task>
  <Task id="{92c62250-d98a-43cf-a7f6-d7fa5b7ec535}">
    <Anchor>
      <Comment id="{8c9a2648-975d-4df6-98fa-e5b8f1c6033b}"/>
    </Anchor>
    <History>
      <Event time="2026-05-06T23:10:22.00" id="{72ba9c59-0fdf-480c-bf8e-bcfc9e5421ad}">
        <Attribution userId="placeholder@email.com" userName="Stephanie Da Costa Calandrine" userProvider="google-sheets"/>
        <Anchor>
          <Comment id="{8c9a2648-975d-4df6-98fa-e5b8f1c6033b}"/>
        </Anchor>
        <Create/>
      </Event>
      <Event time="2026-05-06T23:10:22.00" id="{5911ef1e-4134-45df-a8cd-73579ad46719}">
        <Attribution userId="placeholder@email.com" userName="Stephanie Da Costa Calandrine" userProvider="google-sheets"/>
        <Anchor>
          <Comment id="{8c9a2648-975d-4df6-98fa-e5b8f1c6033b}"/>
        </Anchor>
        <Assign userId="andreza.pimenta@neon.com.br" userName="andreza.pimenta@neon.com.br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609600</xdr:colOff>
      <xdr:row>0</xdr:row>
      <xdr:rowOff>0</xdr:rowOff>
    </xdr:from>
    <xdr:ext cx="8724900" cy="22193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386473156" name="Visualization1" title="Visualização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gia.mayumi@neon.com.br" id="{3d4424a5-b96b-440b-8c0b-21c19ec973fe}" userId="ligia.mayumi@neon.com.br" providerId="google-sheets"/>
  <x18tc:person displayName="camila.arita@neon.com.br" id="{daec879f-50e6-46ed-b77a-142ecce6331b}" userId="camila.arita@neon.com.br" providerId="google-sheets"/>
  <x18tc:person displayName="camila.costa@neon.com.br" id="{c14f1145-845c-4739-9308-c065f523b229}" userId="camila.costa@neon.com.br" providerId="google-sheets"/>
  <x18tc:person displayName="thiago.ppereira@neon.com.br" id="{5fea363c-bf6b-4097-afe5-1b9679b725ff}" userId="thiago.ppereira@neon.com.br" providerId="google-sheets"/>
  <x18tc:person displayName="Camila Pereira Costa" id="{061953ad-3cbe-40fb-bcde-1a2497cbff9e}" providerId="google-sheets"/>
  <x18tc:person displayName="Carina Jorge Pinha" id="{feb53953-282c-4aaa-ad2b-c0214b4e330a}" providerId="google-sheets"/>
  <x18tc:person displayName="paula.jannini@neon.com.br" id="{56b1aa58-93c2-43f7-bfe4-68e4220c79b2}" userId="paula.jannini@neon.com.br" providerId="google-sheets"/>
  <x18tc:person displayName="carina.pinha@neon.com.br" id="{155f31ab-c88a-4b1f-a1f1-9ee2f2a87e23}" userId="carina.pinha@neon.com.br" providerId="google-sheets"/>
  <x18tc:person displayName="andreza.pimenta@neon.com.br" id="{1c28bdc0-2269-4518-b9b1-63821a27030e}" userId="andreza.pimenta@neon.com.br" providerId="google-sheets"/>
  <x18tc:person displayName="Sabrina Mendes" id="{263b3c85-4586-46ed-a2f2-4aca3ae512a4}" providerId="google-sheets"/>
  <x18tc:person displayName="Stephanie Da Costa Calandrine" id="{639a316d-a427-4a64-88c2-75f054a96163}" providerId="google-sheets"/>
  <x18tc:person displayName="Andreza Cardoso Pimenta" id="{275086da-99ff-4cd9-ad54-9340d4b99886}" providerId="google-sheets"/>
  <x18tc:person displayName="sabrina.mendes@neon.com.br" id="{0c0ae729-b3cd-4b27-a84a-eaa8101e840f}" userId="sabrina.mendes@neon.com.br" providerId="google-sheets"/>
  <x18tc:person displayName="stephanie.calandrine@neon.com.br" id="{bf59f56a-477e-4025-b9a8-cd5cee0c0205}" userId="stephanie.calandrine@neon.com.br" providerId="google-sheets"/>
  <x18tc:person displayName="amanda.pimentel@neon.com.br" id="{58ceb638-aaf9-4763-8a8e-fc39591e0868}" userId="amanda.pimentel@neon.com.br" providerId="google-sheets"/>
  <x18tc:person displayName="gustavo.zaluski@neon.com.br" id="{f51b4b28-83cc-46e5-b879-0408814440b5}" userId="gustavo.zaluski@neon.com.br" providerId="google-sheets"/>
  <x18tc:person displayName="icaro.ribeiro@neon.com.br" id="{04314cca-1487-4b55-b6e6-79a5b551d3f4}" userId="icaro.ribeiro@neon.com.br" providerId="google-sheets"/>
  <x18tc:person displayName="Camila Erika Arita" id="{67735fea-6cc1-4aea-a470-bf1570a461a7}" providerId="google-sheets"/>
</x18tc:personList>
</file>

<file path=xl/tables/table1.xml><?xml version="1.0" encoding="utf-8"?>
<table xmlns="http://schemas.openxmlformats.org/spreadsheetml/2006/main" ref="A1:L75" displayName="Tabela_1" name="Tabela_1" id="1">
  <autoFilter ref="$A$1:$L$75"/>
  <tableColumns count="12">
    <tableColumn name="Tema" id="1"/>
    <tableColumn name="Campo" id="2"/>
    <tableColumn name="Tipo" id="3"/>
    <tableColumn name="Origem" id="4"/>
    <tableColumn name="Tabela" id="5"/>
    <tableColumn name="Reponsável" id="6"/>
    <tableColumn name="Alimenta outro sistema? Quais?" id="7"/>
    <tableColumn name="Alimenta quantos Sistemas?" id="8"/>
    <tableColumn name="Dado Sensível?" id="9"/>
    <tableColumn name="Atualização" id="10"/>
    <tableColumn name="Erros Reportados" id="11"/>
    <tableColumn name="Risco" id="12"/>
  </tableColumns>
  <tableStyleInfo name="DataGO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22T17:45:01.00" personId="{275086da-99ff-4cd9-ad54-9340d4b99886}" id="{759afaed-9c33-4760-b68f-d9fcdf18cd94}" done="0">
    <x18tc:text xml:space="preserve">Aqui tem uma lógica, por exemplo.
quando for a minha linha eu não posso aparecer na coluna N4, falamos com calma depois @icaro.ribeiro@neon.com.br</x18tc:text>
    <x18tc:mentions>
      <x18tc:mention mentionpersonId="{04314cca-1487-4b55-b6e6-79a5b551d3f4}" mentionId="{d9df6201-b59e-468d-b2c7-66aa46015a74}" startIndex="121" length="26"/>
    </x18tc:mentions>
  </x18tc:threadedComment>
  <x18tc:threadedComment ref="C8" dT="2026-05-11T19:12:58.00" personId="{67735fea-6cc1-4aea-a470-bf1570a461a7}" id="{4aa59934-13c0-4bf2-ab39-3ce524c8841c}" done="0">
    <x18tc:text xml:space="preserve">8,6 ou 86?</x18tc:text>
  </x18tc:threadedComment>
  <x18tc:threadedComment ref="A1" dT="2025-08-26T15:20:03.00" personId="{275086da-99ff-4cd9-ad54-9340d4b99886}" id="{6b283497-1f5c-4ff3-ab8d-5ffd06151061}" done="1">
    <x18tc:text xml:space="preserve">Semana que vem começamos a pensar no crono, essa semana é só alinhamento técnico da API</x18tc:text>
  </x18tc:threadedComment>
  <x18tc:threadedComment ref="A1" dT="2025-09-26T18:07:22.00" personId="{275086da-99ff-4cd9-ad54-9340d4b99886}" id="{c8a40d53-cde4-4e4c-82bd-a0bbe034f784}" done="0">
    <x18tc:text xml:space="preserve">Quando For COMEX na coluna nível_gestão_ds Traga Sim, ao contrário traga não</x18tc:text>
  </x18tc:threadedComment>
  <x18tc:threadedComment ref="L20" dT="2026-04-27T19:50:22.00" personId="{061953ad-3cbe-40fb-bcde-1a2497cbff9e}" id="{737ba386-69e4-4f82-b063-087d73562c7b}" done="1">
    <x18tc:text xml:space="preserve">@andreza.pimenta@neon.com.br oie! sera que vale incluir prazo e status? acho que fica mais facil pra gente acompanhar. O que acha?
@paula.jannini@neon.com.br comentou que esta planilha substituiria a que iniciei, se possivel, podemos incluir as pessoas ponto focais em BPs sobre os temas que tem interação direta com a gente? assim tb conseguimos fazer melhor gestao do tema</x18tc:text>
    <x18tc:mentions>
      <x18tc:mention mentionpersonId="{1c28bdc0-2269-4518-b9b1-63821a27030e}" mentionId="{68192276-9bf7-43f9-81de-65fe95ada15c}" startIndex="0" length="28"/>
      <x18tc:mention mentionpersonId="{56b1aa58-93c2-43f7-bfe4-68e4220c79b2}" mentionId="{70c2b707-d62c-492e-b072-04af6aa65ac8}" startIndex="132" length="26"/>
    </x18tc:mentions>
  </x18tc:threadedComment>
  <x18tc:threadedComment ref="L20" dT="2026-04-27T20:13:04.00" personId="{275086da-99ff-4cd9-ad54-9340d4b99886}" id="{71321629-0ae5-4990-a039-71714b5bd2a4}" parentId="{737ba386-69e4-4f82-b063-087d73562c7b}">
    <x18tc:text xml:space="preserve">Podemos super @camila.costa@neon.com.br, falamos hoje na call de bps e vou deixar a coluna do responsável de HRBP em cada tema e conseguimos trocar os dias por datas se ficar melhor.
1 reação no total
Camila Pereira Costa reagiu com 👍: 2026-04-29 12:22 PM.</x18tc:text>
    <x18tc:mentions>
      <x18tc:mention mentionpersonId="{c14f1145-845c-4739-9308-c065f523b229}" mentionId="{408614fe-553f-4b50-a59c-2d7bbf9e43ed}" startIndex="14" length="25"/>
    </x18tc:mentions>
  </x18tc:threadedComment>
  <x18tc:threadedComment ref="B20" dT="2026-05-05T19:36:09.00" personId="{275086da-99ff-4cd9-ad54-9340d4b99886}" id="{200ea182-3db3-4cea-8319-82b6f3ddb323}" done="0">
    <x18tc:text xml:space="preserve">@stephanie.calandrine@neon.com.br centralizei tudo aqui, pode usar essa como versão final</x18tc:text>
    <x18tc:mentions>
      <x18tc:mention mentionpersonId="{bf59f56a-477e-4025-b9a8-cd5cee0c0205}" mentionId="{ad04f2fd-23e7-4cb7-b8e5-e5266201070f}" startIndex="0" length="33"/>
    </x18tc:mentions>
  </x18tc:threadedComment>
  <x18tc:threadedComment ref="A1" dT="2025-09-19T18:43:28.00" personId="{275086da-99ff-4cd9-ad54-9340d4b99886}" id="{161bad0b-c2fa-415d-8c67-292304153993}" done="1">
    <x18tc:text xml:space="preserve">Levar com o gui e derrubar pelo menos 2 temas na próxima semana do @thiago.ppereira@neon.com.br</x18tc:text>
    <x18tc:mentions>
      <x18tc:mention mentionpersonId="{5fea363c-bf6b-4097-afe5-1b9679b725ff}" mentionId="{a30d643d-a757-4b73-aeca-06b5c7ba8efc}" startIndex="67" length="28"/>
    </x18tc:mentions>
  </x18tc:threadedComment>
  <x18tc:threadedComment ref="Y32" dT="2026-05-04T20:21:12.00" personId="{275086da-99ff-4cd9-ad54-9340d4b99886}" id="{3b54c1e8-3eb0-43e8-b216-9abbfcf2d577}" done="1">
    <x18tc:text xml:space="preserve">Tem uma agenda amanhã com a DIgAI do início dos testes. Como lá em cima seria legal deixar abertura de vagas e posições juntas, podemos colocar a @amanda.pimentel@neon.com.br com Tako e DigAI? O que acham?</x18tc:text>
    <x18tc:mentions>
      <x18tc:mention mentionpersonId="{58ceb638-aaf9-4763-8a8e-fc39591e0868}" mentionId="{8fcd0918-5db9-4a2a-ab85-c86ee60307db}" startIndex="146" length="28"/>
    </x18tc:mentions>
  </x18tc:threadedComment>
  <x18tc:threadedComment ref="A1" dT="2026-04-13T20:33:41.00" personId="{275086da-99ff-4cd9-ad54-9340d4b99886}" id="{d27055fa-3e4d-45ba-838d-0e1dba8eb521}" done="0">
    <x18tc:text xml:space="preserve">@carina.pinha@neon.com.br nesse primeiro momento sempre me vem na cabeça aderência ao People Platform, pensa em outro ponto?</x18tc:text>
    <x18tc:mentions>
      <x18tc:mention mentionpersonId="{155f31ab-c88a-4b1f-a1f1-9ee2f2a87e23}" mentionId="{cb5c9f95-8ea1-43e3-bc52-3026493b4ed0}" startIndex="0" length="25"/>
    </x18tc:mentions>
  </x18tc:threadedComment>
  <x18tc:threadedComment ref="A1" dT="2026-04-13T21:54:22.00" personId="{feb53953-282c-4aaa-ad2b-c0214b4e330a}" id="{3de1249e-4784-426e-9ea5-d4a0ef8bccd5}" parentId="{d27055fa-3e4d-45ba-838d-0e1dba8eb521}">
    <x18tc:text xml:space="preserve">A aderência para avaliar impacto e NPS para avaliar qualidade. O que acha?</x18tc:text>
  </x18tc:threadedComment>
  <x18tc:threadedComment ref="A1" dT="2026-04-15T12:44:59.00" personId="{275086da-99ff-4cd9-ad54-9340d4b99886}" id="{6a8c2ba7-e22d-46fc-b15a-c7f0550e7d96}" parentId="{d27055fa-3e4d-45ba-838d-0e1dba8eb521}">
    <x18tc:text xml:space="preserve">Toop @carina.pinha@neon.com.br, faz sentido total</x18tc:text>
    <x18tc:mentions>
      <x18tc:mention mentionpersonId="{155f31ab-c88a-4b1f-a1f1-9ee2f2a87e23}" mentionId="{eb81b5ca-bd8d-4481-b979-5e5a7a698055}" startIndex="5" length="25"/>
    </x18tc:mentions>
  </x18tc:threadedComment>
  <x18tc:threadedComment ref="Y21" dT="2026-05-04T20:17:29.00" personId="{275086da-99ff-4cd9-ad54-9340d4b99886}" id="{4a9da489-0d6f-4679-9b3e-6ce647fe8130}" done="1">
    <x18tc:text xml:space="preserve">@camila.costa@neon.com.br ambos são temas que se conectam, abertura de vagas e abertura de posição,  seria legal deixar a mesma pessoa.</x18tc:text>
    <x18tc:mentions>
      <x18tc:mention mentionpersonId="{c14f1145-845c-4739-9308-c065f523b229}" mentionId="{d25c7cfd-db13-48b6-9038-b6b6ece71129}" startIndex="0" length="25"/>
    </x18tc:mentions>
  </x18tc:threadedComment>
  <x18tc:threadedComment ref="A1" dT="2025-09-26T17:18:22.00" personId="{275086da-99ff-4cd9-ad54-9340d4b99886}" id="{93058d43-42fe-45ef-aa00-797623598a7d}" done="1">
    <x18tc:text xml:space="preserve">Verificar com Gui e Camis</x18tc:text>
  </x18tc:threadedComment>
  <x18tc:threadedComment ref="R20" dT="2026-04-13T20:34:53.00" personId="{275086da-99ff-4cd9-ad54-9340d4b99886}" id="{f3a9117d-5731-4355-83c2-96ce700d18cc}" done="1">
    <x18tc:text xml:space="preserve">@stephanie.calandrine@neon.com.br</x18tc:text>
    <x18tc:mentions>
      <x18tc:mention mentionpersonId="{bf59f56a-477e-4025-b9a8-cd5cee0c0205}" mentionId="{2cf71dfc-ec5d-42e4-ae40-154d60e3c79c}" startIndex="0" length="33"/>
    </x18tc:mentions>
  </x18tc:threadedComment>
  <x18tc:threadedComment ref="F42" dT="2026-04-15T20:40:36.00" personId="{263b3c85-4586-46ed-a2f2-4aca3ae512a4}" id="{5abe95f5-0704-4942-9ca6-007d2a02e20d}" done="1">
    <x18tc:text xml:space="preserve">@andreza.pimenta@neon.com.br faz sentido estar aqui?
Atribuído a andreza.pimenta@neon.com.br</x18tc:text>
    <x18tc:mentions>
      <x18tc:mention mentionpersonId="{1c28bdc0-2269-4518-b9b1-63821a27030e}" mentionId="{05f19e3f-2c1d-4ec8-b6a7-31a38b328891}" startIndex="0" length="28"/>
    </x18tc:mentions>
  </x18tc:threadedComment>
  <x18tc:threadedComment ref="F42" dT="2026-04-15T20:56:01.00" personId="{275086da-99ff-4cd9-ad54-9340d4b99886}" id="{b6a909a6-c86a-4277-84a2-940cf11ba54f}" parentId="{5abe95f5-0704-4942-9ca6-007d2a02e20d}">
    <x18tc:text xml:space="preserve">Faz sim @sabrina.mendes@neon.com.br</x18tc:text>
    <x18tc:mentions>
      <x18tc:mention mentionpersonId="{0c0ae729-b3cd-4b27-a84a-eaa8101e840f}" mentionId="{d66eceec-29a6-4997-8125-362a50a553ce}" startIndex="8" length="27"/>
    </x18tc:mentions>
  </x18tc:threadedComment>
  <x18tc:threadedComment ref="B11" dT="2026-05-06T23:23:27.00" personId="{639a316d-a427-4a64-88c2-75f054a96163}" id="{fbaa56aa-b87e-4651-a4ba-8c988210cd97}" done="0">
    <x18tc:text xml:space="preserve">@andreza.pimenta@neon.com.br aqui seria da Team Guide ou People Platform?
Atribuído a andreza.pimenta@neon.com.br</x18tc:text>
    <x18tc:mentions>
      <x18tc:mention mentionpersonId="{1c28bdc0-2269-4518-b9b1-63821a27030e}" mentionId="{ec7ce46a-2a69-449d-a9a3-f8b1075e9a93}" startIndex="0" length="28"/>
    </x18tc:mentions>
  </x18tc:threadedComment>
  <x18tc:threadedComment ref="A1" dT="2025-10-06T16:32:51.00" personId="{275086da-99ff-4cd9-ad54-9340d4b99886}" id="{b31dfd1e-3e06-40b6-918b-79059ee3fd6b}" done="1">
    <x18tc:text xml:space="preserve">Conexão Neon</x18tc:text>
  </x18tc:threadedComment>
  <x18tc:threadedComment ref="A1" dT="2025-09-24T19:32:54.00" personId="{275086da-99ff-4cd9-ad54-9340d4b99886}" id="{32a07a25-10d7-4773-98a9-919c49a2e544}" done="0">
    <x18tc:text xml:space="preserve">Quantas pessoas tem no time da andreza? Ou a andreza é gestora de quantas pessoas?</x18tc:text>
  </x18tc:threadedComment>
  <x18tc:threadedComment ref="A1" dT="2026-05-06T23:10:22.00" personId="{639a316d-a427-4a64-88c2-75f054a96163}" id="{8c9a2648-975d-4df6-98fa-e5b8f1c6033b}" done="0">
    <x18tc:text xml:space="preserve">@andreza.pimenta@neon.com.br coloquei o módulo de offboarding da Team Guide aqui no Backlog. Mas não deveria ser priorizado junto com as outras implantações da Team Guide? pergunto por causa da descontinuidade da QR.
Atribuído a andreza.pimenta@neon.com.br</x18tc:text>
    <x18tc:mentions>
      <x18tc:mention mentionpersonId="{1c28bdc0-2269-4518-b9b1-63821a27030e}" mentionId="{14bbe330-6b1a-438f-a3d9-9ec15fa70e53}" startIndex="0" length="28"/>
    </x18tc:mentions>
  </x18tc:threadedComment>
  <x18tc:threadedComment ref="A1" dT="2025-09-24T19:14:40.00" personId="{275086da-99ff-4cd9-ad54-9340d4b99886}" id="{f228d594-c08a-422b-b3f6-12dace268f9f}" done="0">
    <x18tc:text xml:space="preserve">IF tempo_casa_ds = 7; Onboarding 7
IF tempo_casa_ds &gt; 30; Pulso
IF tempo_casa_ds = 60; Onboarding 60
IF tempo_casa_ds = 90; Onboarding 90
Para gestor que possui colaborador com tempo de casa
IF tempo_casa_ds = 7; Hiring Manager 7
IF tempo_casa_ds = 90; Hiring Manager 90</x18tc:text>
  </x18tc:threadedComment>
  <x18tc:threadedComment ref="A1" dT="2025-09-24T19:30:58.00" personId="{275086da-99ff-4cd9-ad54-9340d4b99886}" id="{7f18ba40-7f6a-4232-8c86-ae31ca420521}" done="0">
    <x18tc:text xml:space="preserve">@sabrina.mendes@neon.com.br realmetne precisamos dessa coluna</x18tc:text>
    <x18tc:mentions>
      <x18tc:mention mentionpersonId="{0c0ae729-b3cd-4b27-a84a-eaa8101e840f}" mentionId="{eeade587-8294-486d-9fd0-a5633af1b100}" startIndex="0" length="27"/>
    </x18tc:mentions>
  </x18tc:threadedComment>
  <x18tc:threadedComment ref="Y20" dT="2026-04-27T20:15:25.00" personId="{275086da-99ff-4cd9-ad54-9340d4b99886}" id="{dd4447ce-50e6-4ec3-b487-f140d1ca11ad}" done="0">
    <x18tc:text xml:space="preserve">@camila.costa@neon.com.br, @camila.arita@neon.com.br @paula.jannini@neon.com.br @ligia.mayumi@neon.com.br @gustavo.zaluski@neon.com.br 
Deixei a coluna aqui para preenchimento</x18tc:text>
    <x18tc:mentions>
      <x18tc:mention mentionpersonId="{c14f1145-845c-4739-9308-c065f523b229}" mentionId="{b4c1184b-c853-41f2-8e94-e5bc4db5beef}" startIndex="0" length="25"/>
      <x18tc:mention mentionpersonId="{daec879f-50e6-46ed-b77a-142ecce6331b}" mentionId="{87fe3e26-d909-47f0-83bc-dafc5954f171}" startIndex="27" length="25"/>
      <x18tc:mention mentionpersonId="{56b1aa58-93c2-43f7-bfe4-68e4220c79b2}" mentionId="{81d9ff0b-42f7-4841-a077-88bbb4dbdce7}" startIndex="53" length="26"/>
      <x18tc:mention mentionpersonId="{3d4424a5-b96b-440b-8c0b-21c19ec973fe}" mentionId="{ce696d6e-3849-49ef-b88f-0bef34f566e2}" startIndex="80" length="25"/>
      <x18tc:mention mentionpersonId="{f51b4b28-83cc-46e5-b879-0408814440b5}" mentionId="{84e7ba9d-cd99-4b43-a9c0-042ea62b3db0}" startIndex="106" length="28"/>
    </x18tc:mentions>
  </x18tc:threadedComment>
  <x18tc:threadedComment ref="A1" dT="2025-09-24T19:31:39.00" personId="{275086da-99ff-4cd9-ad54-9340d4b99886}" id="{0cb0358b-ff6e-496c-9395-d450eff72e69}" done="0">
    <x18tc:text xml:space="preserve">@sabrina.mendes@neon.com.br realmente precisamos dessas colunas?</x18tc:text>
    <x18tc:mentions>
      <x18tc:mention mentionpersonId="{0c0ae729-b3cd-4b27-a84a-eaa8101e840f}" mentionId="{34172d64-c7be-4189-a8ff-d53a7b46997e}" startIndex="0" length="27"/>
    </x18tc:mentions>
  </x18tc:threadedComment>
  <x18tc:threadedComment ref="R49" dT="2026-04-13T20:35:43.00" personId="{275086da-99ff-4cd9-ad54-9340d4b99886}" id="{0b33bbe6-a2a0-4f70-aaae-8164163f85be}" done="1">
    <x18tc:text xml:space="preserve">@thiago.ppereira@neon.com.br conseguimos pelo log medir o quanto o agente está respondendo corretamente?</x18tc:text>
    <x18tc:mentions>
      <x18tc:mention mentionpersonId="{5fea363c-bf6b-4097-afe5-1b9679b725ff}" mentionId="{8c22bb0b-11f7-4567-b450-12013af3fe7b}" startIndex="0" length="28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7" dT="2026-01-14T14:20:50.00" personId="{275086da-99ff-4cd9-ad54-9340d4b99886}" id="{b6edba1f-8970-4185-b60f-62d354a09b79}" done="0">
    <x18tc:text xml:space="preserve">Tive uma call com o time de acessos e envio de máquina, precisamos além de enviar o lembrete no slack ter um relatório de quantas pessoas serão admitidas por janela de contrataçaõ.</x18tc:text>
  </x18tc:threadedComment>
  <x18tc:threadedComment ref="B177" dT="2026-01-19T19:16:44.00" personId="{275086da-99ff-4cd9-ad54-9340d4b99886}" id="{60a5d51d-d726-41c4-9cf6-8d8100c675e6}" parentId="{b6edba1f-8970-4185-b60f-62d354a09b79}">
    <x18tc:text xml:space="preserve">@carina.pinha@neon.com.br</x18tc:text>
    <x18tc:mentions>
      <x18tc:mention mentionpersonId="{155f31ab-c88a-4b1f-a1f1-9ee2f2a87e23}" mentionId="{885913b4-be8c-491a-a9c9-4df22e276f78}" startIndex="0" length="25"/>
    </x18tc:mentions>
  </x18tc:threadedComment>
  <x18tc:threadedComment ref="B112" dT="2026-01-19T19:17:01.00" personId="{275086da-99ff-4cd9-ad54-9340d4b99886}" id="{31c0457b-6ad6-45d4-a7c5-b9c08a96cd8f}" done="1">
    <x18tc:text xml:space="preserve">@carina.pinha@neon.com.br temos algum update nesse tema?</x18tc:text>
    <x18tc:mentions>
      <x18tc:mention mentionpersonId="{155f31ab-c88a-4b1f-a1f1-9ee2f2a87e23}" mentionId="{1d875083-5ddd-4ed6-b607-5ebd2ff91d0b}" startIndex="0" length="25"/>
    </x18tc:mentions>
  </x18tc:threadedComment>
  <x18tc:threadedComment ref="B30" dT="2025-08-25T18:11:18.00" personId="{275086da-99ff-4cd9-ad54-9340d4b99886}" id="{e62a08b1-5f3f-41e9-8d9a-2a7ed4b7ce06}" done="1">
    <x18tc:text xml:space="preserve">Mapear também blocos de acessos e envio de máquinas @carina.pinha@neon.com.br</x18tc:text>
    <x18tc:mentions>
      <x18tc:mention mentionpersonId="{155f31ab-c88a-4b1f-a1f1-9ee2f2a87e23}" mentionId="{84abf22b-204b-458a-9ebd-8e534b326606}" startIndex="52" length="25"/>
    </x18tc:mentions>
  </x18tc:threadedComment>
  <x18tc:threadedComment ref="B156" dT="2025-10-24T18:21:54.00" personId="{275086da-99ff-4cd9-ad54-9340d4b99886}" id="{036b4b47-02f0-4571-ba11-4da61f0e7103}" done="1">
    <x18tc:text xml:space="preserve">Verificar também performance ou lógica trazer fechamento mensal e o dia atual.
1 reação no total
Thiago Lopes Pereira reagiu com 👍🏽: 2025-10-29 12:05 PM.</x18tc:text>
  </x18tc:threadedComment>
  <x18tc:threadedComment ref="B156" dT="2025-10-24T22:33:59.00" personId="{275086da-99ff-4cd9-ad54-9340d4b99886}" id="{8f2f745a-0358-4c99-a276-e0e8df3bbfcc}" parentId="{036b4b47-02f0-4571-ba11-4da61f0e7103}">
    <x18tc:text xml:space="preserve">Trazer sempre a max data de cada mês, corrigir as dags atuais
1 reação no total
Thiago Lopes Pereira reagiu com 👍🏽: 2025-10-29 12:05 PM.</x18tc:text>
  </x18tc:threadedComment>
  <x18tc:threadedComment ref="B217" dT="2025-10-06T19:34:18.00" personId="{275086da-99ff-4cd9-ad54-9340d4b99886}" id="{a300b4ad-f03d-44ae-9385-43774f79058d}" done="1">
    <x18tc:text xml:space="preserve">Como salva no drive, rotina atualização mensal ou semanal.
V1: Primeira versão do relatório.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9" dT="2026-01-29T18:23:34.00" personId="{275086da-99ff-4cd9-ad54-9340d4b99886}" id="{4eb63baa-a304-412d-8b2f-697ab967b2ac}" done="0">
    <x18tc:text xml:space="preserve">Ramon e Jamil, promotores do tema</x18tc:text>
  </x18tc:threadedComment>
  <x18tc:threadedComment ref="E21" dT="2026-01-29T18:18:08.00" personId="{275086da-99ff-4cd9-ad54-9340d4b99886}" id="{31cb2b2e-2324-4e6e-88b7-43c72a98c4ec}" done="0">
    <x18tc:text xml:space="preserve">quebrar temas</x18tc:text>
  </x18tc:threadedComment>
  <x18tc:threadedComment ref="E22" dT="2026-01-29T18:29:31.00" personId="{275086da-99ff-4cd9-ad54-9340d4b99886}" id="{6401642d-90f0-4afc-9959-69dd5be8e548}" done="0">
    <x18tc:text xml:space="preserve">Modelo de trabalho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4-14T19:10:22.00" personId="{275086da-99ff-4cd9-ad54-9340d4b99886}" id="{8c29d2c0-d827-4be1-a163-2ebc09b19627}" done="0">
    <x18tc:text xml:space="preserve">@sabrina.mendes@neon.com.br muda o crono do DDL para o formato da aba cronograma, por favor? que padronizamos todos</x18tc:text>
    <x18tc:mentions>
      <x18tc:mention mentionpersonId="{0c0ae729-b3cd-4b27-a84a-eaa8101e840f}" mentionId="{78557590-6b5e-405b-8960-c7502b6e511d}" startIndex="0" length="27"/>
    </x18tc:mentions>
  </x18tc:threadedComment>
  <x18tc:threadedComment ref="G37" dT="2026-04-01T12:55:39.00" personId="{275086da-99ff-4cd9-ad54-9340d4b99886}" id="{0df94d53-7f57-4c17-bdbf-fdc9d3bb4796}" done="1">
    <x18tc:text xml:space="preserve">@sabrina.mendes@neon.com.br aqui a mesma coisa</x18tc:text>
    <x18tc:mentions>
      <x18tc:mention mentionpersonId="{0c0ae729-b3cd-4b27-a84a-eaa8101e840f}" mentionId="{38f1423c-43cf-449f-91e6-d9d75bec08b5}" startIndex="0" length="27"/>
    </x18tc:mentions>
  </x18tc:threadedComment>
  <x18tc:threadedComment ref="G36" dT="2026-04-01T12:55:15.00" personId="{275086da-99ff-4cd9-ad54-9340d4b99886}" id="{029d9fa9-5113-4ca8-a2fe-95a1fd1d6918}" done="1">
    <x18tc:text xml:space="preserve">@sabrina.mendes@neon.com.br aqui o crono ficou amplo, é legal sempre ter uma data incio e final bem marcada. Por exemplo: Segunda semana de abril?</x18tc:text>
    <x18tc:mentions>
      <x18tc:mention mentionpersonId="{0c0ae729-b3cd-4b27-a84a-eaa8101e840f}" mentionId="{614b47d1-500f-47e0-9e61-9c0930a7b7b1}" startIndex="0" length="27"/>
    </x18tc:mentions>
  </x18tc:threadedComment>
  <x18tc:threadedComment ref="G38" dT="2026-04-01T12:56:12.00" personId="{275086da-99ff-4cd9-ad54-9340d4b99886}" id="{3675d3c8-dc0a-48fc-9e61-bfd5385a5825}" done="1">
    <x18tc:text xml:space="preserve">Mudei aqui para lançar junto com o Líder hub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paula.jannini@neon.com.br" TargetMode="External"/><Relationship Id="rId83" Type="http://schemas.openxmlformats.org/officeDocument/2006/relationships/vmlDrawing" Target="../drawings/vmlDrawing1.vml"/><Relationship Id="rId42" Type="http://schemas.openxmlformats.org/officeDocument/2006/relationships/hyperlink" Target="mailto:carina.pinha@neon.com.br" TargetMode="External"/><Relationship Id="rId41" Type="http://schemas.openxmlformats.org/officeDocument/2006/relationships/hyperlink" Target="mailto:camila.balan@neon.com.br" TargetMode="External"/><Relationship Id="rId44" Type="http://schemas.openxmlformats.org/officeDocument/2006/relationships/hyperlink" Target="mailto:camila.balan@neon.com.br" TargetMode="External"/><Relationship Id="rId43" Type="http://schemas.openxmlformats.org/officeDocument/2006/relationships/hyperlink" Target="mailto:gabriela.amaral@neon.com.br" TargetMode="External"/><Relationship Id="rId46" Type="http://schemas.openxmlformats.org/officeDocument/2006/relationships/hyperlink" Target="mailto:gabriela.amaral@neon.com.br" TargetMode="External"/><Relationship Id="rId45" Type="http://schemas.openxmlformats.org/officeDocument/2006/relationships/hyperlink" Target="mailto:carina.pinha@neon.com.br" TargetMode="External"/><Relationship Id="rId80" Type="http://schemas.openxmlformats.org/officeDocument/2006/relationships/hyperlink" Target="mailto:martha.souza@neon.com.br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mailto:keyse.fonseca@neon.com.br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fernanda.almeida@neon.com.br" TargetMode="External"/><Relationship Id="rId9" Type="http://schemas.openxmlformats.org/officeDocument/2006/relationships/hyperlink" Target="mailto:matheus.henrique@neon.com.br" TargetMode="External"/><Relationship Id="rId48" Type="http://schemas.openxmlformats.org/officeDocument/2006/relationships/hyperlink" Target="mailto:thiago.ppereira@neon.com.br" TargetMode="External"/><Relationship Id="rId47" Type="http://schemas.openxmlformats.org/officeDocument/2006/relationships/hyperlink" Target="mailto:camila.balan@neon.com.br" TargetMode="External"/><Relationship Id="rId49" Type="http://schemas.openxmlformats.org/officeDocument/2006/relationships/hyperlink" Target="mailto:andreza.pimenta@neon.com.br" TargetMode="External"/><Relationship Id="rId5" Type="http://schemas.openxmlformats.org/officeDocument/2006/relationships/hyperlink" Target="mailto:rafael.baraccat@neon.com.br" TargetMode="External"/><Relationship Id="rId6" Type="http://schemas.openxmlformats.org/officeDocument/2006/relationships/hyperlink" Target="mailto:matheus.henrique@neon.com.br" TargetMode="External"/><Relationship Id="rId7" Type="http://schemas.openxmlformats.org/officeDocument/2006/relationships/hyperlink" Target="mailto:fernanda.almeida@neon.com.br" TargetMode="External"/><Relationship Id="rId8" Type="http://schemas.openxmlformats.org/officeDocument/2006/relationships/hyperlink" Target="mailto:rafael.baraccat@neon.com.br" TargetMode="External"/><Relationship Id="rId73" Type="http://schemas.openxmlformats.org/officeDocument/2006/relationships/hyperlink" Target="mailto:gabriela.oliveira@neon.com.br" TargetMode="External"/><Relationship Id="rId72" Type="http://schemas.openxmlformats.org/officeDocument/2006/relationships/hyperlink" Target="mailto:gabriela.oliveira@neon.com.br" TargetMode="External"/><Relationship Id="rId31" Type="http://schemas.openxmlformats.org/officeDocument/2006/relationships/hyperlink" Target="mailto:andressa.lopes@neon.com.br" TargetMode="External"/><Relationship Id="rId75" Type="http://schemas.openxmlformats.org/officeDocument/2006/relationships/hyperlink" Target="mailto:willian.souza@neon.com.br" TargetMode="External"/><Relationship Id="rId30" Type="http://schemas.openxmlformats.org/officeDocument/2006/relationships/hyperlink" Target="mailto:sabrina.mendes@neon.com.br" TargetMode="External"/><Relationship Id="rId74" Type="http://schemas.openxmlformats.org/officeDocument/2006/relationships/hyperlink" Target="mailto:gabriela.oliveira@neon.com.br" TargetMode="External"/><Relationship Id="rId33" Type="http://schemas.openxmlformats.org/officeDocument/2006/relationships/hyperlink" Target="mailto:carina.pinha@neon.com.br" TargetMode="External"/><Relationship Id="rId77" Type="http://schemas.openxmlformats.org/officeDocument/2006/relationships/hyperlink" Target="mailto:thiago.ppereira@neon.com.br" TargetMode="External"/><Relationship Id="rId32" Type="http://schemas.openxmlformats.org/officeDocument/2006/relationships/hyperlink" Target="mailto:matheus.henrique@neon.com.br" TargetMode="External"/><Relationship Id="rId76" Type="http://schemas.openxmlformats.org/officeDocument/2006/relationships/hyperlink" Target="mailto:rafael.baraccat@neon.com.br" TargetMode="External"/><Relationship Id="rId35" Type="http://schemas.openxmlformats.org/officeDocument/2006/relationships/hyperlink" Target="mailto:camila.costa@neon.com.br" TargetMode="External"/><Relationship Id="rId79" Type="http://schemas.openxmlformats.org/officeDocument/2006/relationships/hyperlink" Target="mailto:martha.souza@neon.com.br" TargetMode="External"/><Relationship Id="rId34" Type="http://schemas.openxmlformats.org/officeDocument/2006/relationships/hyperlink" Target="mailto:paula.jannini@neon.com.br" TargetMode="External"/><Relationship Id="rId78" Type="http://schemas.openxmlformats.org/officeDocument/2006/relationships/hyperlink" Target="mailto:sabrina.mendes@neon.com.br" TargetMode="External"/><Relationship Id="rId71" Type="http://schemas.openxmlformats.org/officeDocument/2006/relationships/hyperlink" Target="mailto:rafael.baraccat@neon.com.br" TargetMode="External"/><Relationship Id="rId70" Type="http://schemas.openxmlformats.org/officeDocument/2006/relationships/hyperlink" Target="mailto:gabriela.oliveira@neon.com.br" TargetMode="External"/><Relationship Id="rId37" Type="http://schemas.openxmlformats.org/officeDocument/2006/relationships/hyperlink" Target="mailto:brenda.oliveira@neon.com.br" TargetMode="External"/><Relationship Id="rId36" Type="http://schemas.openxmlformats.org/officeDocument/2006/relationships/hyperlink" Target="mailto:carina.pinha@neon.com.br" TargetMode="External"/><Relationship Id="rId39" Type="http://schemas.openxmlformats.org/officeDocument/2006/relationships/hyperlink" Target="mailto:carina.pinha@neon.com.br" TargetMode="External"/><Relationship Id="rId38" Type="http://schemas.openxmlformats.org/officeDocument/2006/relationships/hyperlink" Target="mailto:camila.balan@neon.com.br" TargetMode="External"/><Relationship Id="rId62" Type="http://schemas.openxmlformats.org/officeDocument/2006/relationships/hyperlink" Target="mailto:julia.longo@neon.com.br" TargetMode="External"/><Relationship Id="rId61" Type="http://schemas.openxmlformats.org/officeDocument/2006/relationships/hyperlink" Target="mailto:rafael.baraccat@neon.com.br" TargetMode="External"/><Relationship Id="rId20" Type="http://schemas.openxmlformats.org/officeDocument/2006/relationships/hyperlink" Target="mailto:ligia.mayumi@neon.com.br" TargetMode="External"/><Relationship Id="rId64" Type="http://schemas.openxmlformats.org/officeDocument/2006/relationships/hyperlink" Target="mailto:rafael.baraccat@neon.com.br" TargetMode="External"/><Relationship Id="rId63" Type="http://schemas.openxmlformats.org/officeDocument/2006/relationships/hyperlink" Target="mailto:ligia.mayumi@neon.com.br" TargetMode="External"/><Relationship Id="rId22" Type="http://schemas.openxmlformats.org/officeDocument/2006/relationships/hyperlink" Target="mailto:andreza.pimenta@neon.com.br" TargetMode="External"/><Relationship Id="rId66" Type="http://schemas.openxmlformats.org/officeDocument/2006/relationships/hyperlink" Target="mailto:camila.costa@neon.com.br" TargetMode="External"/><Relationship Id="rId21" Type="http://schemas.openxmlformats.org/officeDocument/2006/relationships/hyperlink" Target="mailto:martha.souza@neon.com.br" TargetMode="External"/><Relationship Id="rId65" Type="http://schemas.openxmlformats.org/officeDocument/2006/relationships/hyperlink" Target="mailto:julia.longo@neon.com.br" TargetMode="External"/><Relationship Id="rId24" Type="http://schemas.openxmlformats.org/officeDocument/2006/relationships/hyperlink" Target="mailto:fernanda.almeida@neon.com.br" TargetMode="External"/><Relationship Id="rId68" Type="http://schemas.openxmlformats.org/officeDocument/2006/relationships/hyperlink" Target="mailto:luiza.santos@neon.com.br" TargetMode="External"/><Relationship Id="rId23" Type="http://schemas.openxmlformats.org/officeDocument/2006/relationships/hyperlink" Target="mailto:ligia.mayumi@neon.com.br" TargetMode="External"/><Relationship Id="rId67" Type="http://schemas.openxmlformats.org/officeDocument/2006/relationships/hyperlink" Target="mailto:rafael.baraccat@neon.com.br" TargetMode="External"/><Relationship Id="rId60" Type="http://schemas.openxmlformats.org/officeDocument/2006/relationships/hyperlink" Target="mailto:ligia.mayumi@neon.com.br" TargetMode="External"/><Relationship Id="rId26" Type="http://schemas.openxmlformats.org/officeDocument/2006/relationships/hyperlink" Target="mailto:amanda.pimentel@neon.com.br" TargetMode="External"/><Relationship Id="rId25" Type="http://schemas.openxmlformats.org/officeDocument/2006/relationships/hyperlink" Target="mailto:amanda.komuta@neon.com.br" TargetMode="External"/><Relationship Id="rId69" Type="http://schemas.openxmlformats.org/officeDocument/2006/relationships/hyperlink" Target="mailto:camila.arita@neon.com.br" TargetMode="External"/><Relationship Id="rId28" Type="http://schemas.openxmlformats.org/officeDocument/2006/relationships/hyperlink" Target="mailto:rafael.baraccat@neon.com.br" TargetMode="External"/><Relationship Id="rId27" Type="http://schemas.openxmlformats.org/officeDocument/2006/relationships/hyperlink" Target="mailto:fernanda.almeida@neon.com.br" TargetMode="External"/><Relationship Id="rId29" Type="http://schemas.openxmlformats.org/officeDocument/2006/relationships/hyperlink" Target="mailto:amanda.pimentel@neon.com.br" TargetMode="External"/><Relationship Id="rId51" Type="http://schemas.openxmlformats.org/officeDocument/2006/relationships/hyperlink" Target="mailto:thiago.ppereira@neon.com.br" TargetMode="External"/><Relationship Id="rId50" Type="http://schemas.openxmlformats.org/officeDocument/2006/relationships/hyperlink" Target="mailto:gustavo.zaluski@neon.com.br" TargetMode="External"/><Relationship Id="rId53" Type="http://schemas.openxmlformats.org/officeDocument/2006/relationships/hyperlink" Target="mailto:thiago.ppereira@neon.com.br" TargetMode="External"/><Relationship Id="rId52" Type="http://schemas.openxmlformats.org/officeDocument/2006/relationships/hyperlink" Target="mailto:andreza.pimenta@neon.com.br" TargetMode="External"/><Relationship Id="rId11" Type="http://schemas.openxmlformats.org/officeDocument/2006/relationships/hyperlink" Target="mailto:andreza.pimenta@neon.com.br" TargetMode="External"/><Relationship Id="rId55" Type="http://schemas.openxmlformats.org/officeDocument/2006/relationships/hyperlink" Target="mailto:gustavo.zaluski@neon.com.br" TargetMode="External"/><Relationship Id="rId10" Type="http://schemas.openxmlformats.org/officeDocument/2006/relationships/hyperlink" Target="mailto:nicole.santos@neon.com.br" TargetMode="External"/><Relationship Id="rId54" Type="http://schemas.openxmlformats.org/officeDocument/2006/relationships/hyperlink" Target="mailto:andreza.pimenta@neon.com.br" TargetMode="External"/><Relationship Id="rId13" Type="http://schemas.openxmlformats.org/officeDocument/2006/relationships/hyperlink" Target="mailto:rafael.baraccat@neon.com.br" TargetMode="External"/><Relationship Id="rId57" Type="http://schemas.openxmlformats.org/officeDocument/2006/relationships/hyperlink" Target="mailto:thiago.ppereira@neon.com.br" TargetMode="External"/><Relationship Id="rId12" Type="http://schemas.openxmlformats.org/officeDocument/2006/relationships/hyperlink" Target="mailto:fernanda.almeida@neon.com.br" TargetMode="External"/><Relationship Id="rId56" Type="http://schemas.openxmlformats.org/officeDocument/2006/relationships/hyperlink" Target="mailto:sabrina.mendes@neon.com.br" TargetMode="External"/><Relationship Id="rId15" Type="http://schemas.openxmlformats.org/officeDocument/2006/relationships/hyperlink" Target="mailto:martha.souza@neon.com.br" TargetMode="External"/><Relationship Id="rId59" Type="http://schemas.openxmlformats.org/officeDocument/2006/relationships/hyperlink" Target="mailto:gabriela.goncales@neon.com.br" TargetMode="External"/><Relationship Id="rId14" Type="http://schemas.openxmlformats.org/officeDocument/2006/relationships/hyperlink" Target="mailto:gustavo.zaluski@neon.com.br" TargetMode="External"/><Relationship Id="rId58" Type="http://schemas.openxmlformats.org/officeDocument/2006/relationships/hyperlink" Target="mailto:rafael.baraccat@neon.com.br" TargetMode="External"/><Relationship Id="rId17" Type="http://schemas.openxmlformats.org/officeDocument/2006/relationships/hyperlink" Target="mailto:ligia.mayumi@neon.com.br" TargetMode="External"/><Relationship Id="rId16" Type="http://schemas.openxmlformats.org/officeDocument/2006/relationships/hyperlink" Target="mailto:andreza.pimenta@neon.com.br" TargetMode="External"/><Relationship Id="rId19" Type="http://schemas.openxmlformats.org/officeDocument/2006/relationships/hyperlink" Target="mailto:andreza.pimenta@neon.com.br" TargetMode="External"/><Relationship Id="rId18" Type="http://schemas.openxmlformats.org/officeDocument/2006/relationships/hyperlink" Target="mailto:martha.souza@neon.com.br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sabrina.mendes@neon.com.br" TargetMode="External"/><Relationship Id="rId42" Type="http://schemas.openxmlformats.org/officeDocument/2006/relationships/hyperlink" Target="mailto:sabrina.mendes@neon.com.br" TargetMode="External"/><Relationship Id="rId41" Type="http://schemas.openxmlformats.org/officeDocument/2006/relationships/hyperlink" Target="mailto:icaro.ribeiro@neon.com.br" TargetMode="External"/><Relationship Id="rId44" Type="http://schemas.openxmlformats.org/officeDocument/2006/relationships/hyperlink" Target="mailto:esteban.gonzalez@neon.com.br" TargetMode="External"/><Relationship Id="rId43" Type="http://schemas.openxmlformats.org/officeDocument/2006/relationships/hyperlink" Target="mailto:carina.pinha@neon.com.br" TargetMode="External"/><Relationship Id="rId46" Type="http://schemas.openxmlformats.org/officeDocument/2006/relationships/hyperlink" Target="mailto:stephanie.calandrine@neon.com.br" TargetMode="External"/><Relationship Id="rId45" Type="http://schemas.openxmlformats.org/officeDocument/2006/relationships/hyperlink" Target="mailto:andreza.pimenta@neon.com.br" TargetMode="External"/><Relationship Id="rId48" Type="http://schemas.openxmlformats.org/officeDocument/2006/relationships/hyperlink" Target="mailto:stephanie.calandrine@neon.com.br" TargetMode="External"/><Relationship Id="rId47" Type="http://schemas.openxmlformats.org/officeDocument/2006/relationships/hyperlink" Target="mailto:andreza.pimenta@neon.com.br" TargetMode="External"/><Relationship Id="rId49" Type="http://schemas.openxmlformats.org/officeDocument/2006/relationships/hyperlink" Target="mailto:carina.pinha@neon.com.br" TargetMode="External"/><Relationship Id="rId102" Type="http://schemas.openxmlformats.org/officeDocument/2006/relationships/vmlDrawing" Target="../drawings/vmlDrawing2.vml"/><Relationship Id="rId101" Type="http://schemas.openxmlformats.org/officeDocument/2006/relationships/drawing" Target="../drawings/drawing2.xml"/><Relationship Id="rId100" Type="http://schemas.openxmlformats.org/officeDocument/2006/relationships/hyperlink" Target="mailto:thiago.ppereira@neon.com.br" TargetMode="External"/><Relationship Id="rId31" Type="http://schemas.openxmlformats.org/officeDocument/2006/relationships/hyperlink" Target="mailto:rafael.baraccat@neon.com.br" TargetMode="External"/><Relationship Id="rId30" Type="http://schemas.openxmlformats.org/officeDocument/2006/relationships/hyperlink" Target="mailto:rafael.baraccat@neon.com.br" TargetMode="External"/><Relationship Id="rId33" Type="http://schemas.openxmlformats.org/officeDocument/2006/relationships/hyperlink" Target="mailto:rafael.baraccat@neon.com.br" TargetMode="External"/><Relationship Id="rId32" Type="http://schemas.openxmlformats.org/officeDocument/2006/relationships/hyperlink" Target="mailto:rafael.baraccat@neon.com.br" TargetMode="External"/><Relationship Id="rId35" Type="http://schemas.openxmlformats.org/officeDocument/2006/relationships/hyperlink" Target="mailto:rafael.baraccat@neon.com.br" TargetMode="External"/><Relationship Id="rId34" Type="http://schemas.openxmlformats.org/officeDocument/2006/relationships/hyperlink" Target="mailto:andreza.pimenta@neon.com.br" TargetMode="External"/><Relationship Id="rId37" Type="http://schemas.openxmlformats.org/officeDocument/2006/relationships/hyperlink" Target="mailto:thiago.ppereira@neon.com.br" TargetMode="External"/><Relationship Id="rId36" Type="http://schemas.openxmlformats.org/officeDocument/2006/relationships/hyperlink" Target="mailto:sabrina.mendes@neon.com.br" TargetMode="External"/><Relationship Id="rId39" Type="http://schemas.openxmlformats.org/officeDocument/2006/relationships/hyperlink" Target="mailto:stephanie.calandrine@neon.com.br" TargetMode="External"/><Relationship Id="rId38" Type="http://schemas.openxmlformats.org/officeDocument/2006/relationships/hyperlink" Target="mailto:stephanie.calandrine@neon.com.br" TargetMode="External"/><Relationship Id="rId20" Type="http://schemas.openxmlformats.org/officeDocument/2006/relationships/hyperlink" Target="mailto:andreza.pimenta@neon.com.br" TargetMode="External"/><Relationship Id="rId22" Type="http://schemas.openxmlformats.org/officeDocument/2006/relationships/hyperlink" Target="mailto:carina.pinha@neon.com.br" TargetMode="External"/><Relationship Id="rId21" Type="http://schemas.openxmlformats.org/officeDocument/2006/relationships/hyperlink" Target="mailto:carina.pinha@neon.com.br" TargetMode="External"/><Relationship Id="rId24" Type="http://schemas.openxmlformats.org/officeDocument/2006/relationships/hyperlink" Target="mailto:rafael.baraccat@neon.com.br" TargetMode="External"/><Relationship Id="rId23" Type="http://schemas.openxmlformats.org/officeDocument/2006/relationships/hyperlink" Target="mailto:carina.pinha@neon.com.br" TargetMode="External"/><Relationship Id="rId26" Type="http://schemas.openxmlformats.org/officeDocument/2006/relationships/hyperlink" Target="mailto:carina.pinha@neon.com.br" TargetMode="External"/><Relationship Id="rId25" Type="http://schemas.openxmlformats.org/officeDocument/2006/relationships/hyperlink" Target="mailto:carina.pinha@neon.com.br" TargetMode="External"/><Relationship Id="rId28" Type="http://schemas.openxmlformats.org/officeDocument/2006/relationships/hyperlink" Target="mailto:rafael.baraccat@neon.com.br" TargetMode="External"/><Relationship Id="rId27" Type="http://schemas.openxmlformats.org/officeDocument/2006/relationships/hyperlink" Target="mailto:rafael.baraccat@neon.com.br" TargetMode="External"/><Relationship Id="rId29" Type="http://schemas.openxmlformats.org/officeDocument/2006/relationships/hyperlink" Target="mailto:carina.pinha@neon.com.br" TargetMode="External"/><Relationship Id="rId95" Type="http://schemas.openxmlformats.org/officeDocument/2006/relationships/hyperlink" Target="mailto:stephanie.calandrine@neon.com.br" TargetMode="External"/><Relationship Id="rId94" Type="http://schemas.openxmlformats.org/officeDocument/2006/relationships/hyperlink" Target="mailto:thiago.ppereira@neon.com.br" TargetMode="External"/><Relationship Id="rId97" Type="http://schemas.openxmlformats.org/officeDocument/2006/relationships/hyperlink" Target="mailto:stephanie.calandrine@neon.com.br" TargetMode="External"/><Relationship Id="rId96" Type="http://schemas.openxmlformats.org/officeDocument/2006/relationships/hyperlink" Target="mailto:thiago.ppereira@neon.com.br" TargetMode="External"/><Relationship Id="rId11" Type="http://schemas.openxmlformats.org/officeDocument/2006/relationships/hyperlink" Target="mailto:andreza.pimenta@neon.com.br" TargetMode="External"/><Relationship Id="rId99" Type="http://schemas.openxmlformats.org/officeDocument/2006/relationships/hyperlink" Target="mailto:carina.pinha@neon.com.br" TargetMode="External"/><Relationship Id="rId10" Type="http://schemas.openxmlformats.org/officeDocument/2006/relationships/hyperlink" Target="mailto:andreza.pimenta@neon.com.br" TargetMode="External"/><Relationship Id="rId98" Type="http://schemas.openxmlformats.org/officeDocument/2006/relationships/hyperlink" Target="mailto:thiago.ppereira@neon.com.br" TargetMode="External"/><Relationship Id="rId13" Type="http://schemas.openxmlformats.org/officeDocument/2006/relationships/hyperlink" Target="mailto:stephanie.calandrine@neon.com.br" TargetMode="External"/><Relationship Id="rId12" Type="http://schemas.openxmlformats.org/officeDocument/2006/relationships/hyperlink" Target="mailto:thiago.ppereira@neon.com.br" TargetMode="External"/><Relationship Id="rId91" Type="http://schemas.openxmlformats.org/officeDocument/2006/relationships/hyperlink" Target="mailto:stephanie.calandrine@neon.com.br" TargetMode="External"/><Relationship Id="rId90" Type="http://schemas.openxmlformats.org/officeDocument/2006/relationships/hyperlink" Target="mailto:fernanda.almeida@neon.com.br" TargetMode="External"/><Relationship Id="rId93" Type="http://schemas.openxmlformats.org/officeDocument/2006/relationships/hyperlink" Target="mailto:thiago.ppereira@neon.com.br" TargetMode="External"/><Relationship Id="rId92" Type="http://schemas.openxmlformats.org/officeDocument/2006/relationships/hyperlink" Target="mailto:stephanie.calandrine@neon.com.br" TargetMode="External"/><Relationship Id="rId15" Type="http://schemas.openxmlformats.org/officeDocument/2006/relationships/hyperlink" Target="mailto:andreza.pimenta@neon.com.br" TargetMode="External"/><Relationship Id="rId14" Type="http://schemas.openxmlformats.org/officeDocument/2006/relationships/hyperlink" Target="mailto:andreza.pimenta@neon.com.br" TargetMode="External"/><Relationship Id="rId17" Type="http://schemas.openxmlformats.org/officeDocument/2006/relationships/hyperlink" Target="mailto:andreza.pimenta@neon.com.br" TargetMode="External"/><Relationship Id="rId16" Type="http://schemas.openxmlformats.org/officeDocument/2006/relationships/hyperlink" Target="mailto:rafael.baraccat@neon.com.br" TargetMode="External"/><Relationship Id="rId19" Type="http://schemas.openxmlformats.org/officeDocument/2006/relationships/hyperlink" Target="mailto:stephanie.calandrine@neon.com.br" TargetMode="External"/><Relationship Id="rId18" Type="http://schemas.openxmlformats.org/officeDocument/2006/relationships/hyperlink" Target="mailto:andreza.pimenta@neon.com.br" TargetMode="External"/><Relationship Id="rId84" Type="http://schemas.openxmlformats.org/officeDocument/2006/relationships/hyperlink" Target="mailto:thiago.ppereira@neon.com.br" TargetMode="External"/><Relationship Id="rId83" Type="http://schemas.openxmlformats.org/officeDocument/2006/relationships/hyperlink" Target="mailto:thiago.ppereira@neon.com.br" TargetMode="External"/><Relationship Id="rId86" Type="http://schemas.openxmlformats.org/officeDocument/2006/relationships/hyperlink" Target="mailto:carina.pinha@neon.com.br" TargetMode="External"/><Relationship Id="rId85" Type="http://schemas.openxmlformats.org/officeDocument/2006/relationships/hyperlink" Target="mailto:thiago.ppereira@neon.com.br" TargetMode="External"/><Relationship Id="rId88" Type="http://schemas.openxmlformats.org/officeDocument/2006/relationships/hyperlink" Target="mailto:andreza.pimenta@neon.com.br" TargetMode="External"/><Relationship Id="rId87" Type="http://schemas.openxmlformats.org/officeDocument/2006/relationships/hyperlink" Target="mailto:andreza.pimenta@neon.com.br" TargetMode="External"/><Relationship Id="rId89" Type="http://schemas.openxmlformats.org/officeDocument/2006/relationships/hyperlink" Target="mailto:stephanie.calandrine@neon.com.br" TargetMode="External"/><Relationship Id="rId80" Type="http://schemas.openxmlformats.org/officeDocument/2006/relationships/hyperlink" Target="mailto:andreza.pimenta@neon.com.br" TargetMode="External"/><Relationship Id="rId82" Type="http://schemas.openxmlformats.org/officeDocument/2006/relationships/hyperlink" Target="mailto:sabrina.mendes@neon.com.br" TargetMode="External"/><Relationship Id="rId81" Type="http://schemas.openxmlformats.org/officeDocument/2006/relationships/hyperlink" Target="mailto:andreza.pimenta@neon.com.br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amanda.komuta@neon.com.br" TargetMode="External"/><Relationship Id="rId9" Type="http://schemas.openxmlformats.org/officeDocument/2006/relationships/hyperlink" Target="mailto:andreza.pimenta@neon.com.br" TargetMode="External"/><Relationship Id="rId5" Type="http://schemas.openxmlformats.org/officeDocument/2006/relationships/hyperlink" Target="mailto:andreza.pimenta@neon.com.br" TargetMode="External"/><Relationship Id="rId6" Type="http://schemas.openxmlformats.org/officeDocument/2006/relationships/hyperlink" Target="mailto:andreza.pimenta@neon.com.br" TargetMode="External"/><Relationship Id="rId7" Type="http://schemas.openxmlformats.org/officeDocument/2006/relationships/hyperlink" Target="mailto:amanda.komuta@neon.com.br" TargetMode="External"/><Relationship Id="rId8" Type="http://schemas.openxmlformats.org/officeDocument/2006/relationships/hyperlink" Target="mailto:amanda.komuta@neon.com.br" TargetMode="External"/><Relationship Id="rId73" Type="http://schemas.openxmlformats.org/officeDocument/2006/relationships/hyperlink" Target="mailto:carina.pinha@neon.com.br" TargetMode="External"/><Relationship Id="rId72" Type="http://schemas.openxmlformats.org/officeDocument/2006/relationships/hyperlink" Target="mailto:stephanie.calandrine@neon.com.br" TargetMode="External"/><Relationship Id="rId75" Type="http://schemas.openxmlformats.org/officeDocument/2006/relationships/hyperlink" Target="mailto:stephanie.calandrine@neon.com.br" TargetMode="External"/><Relationship Id="rId74" Type="http://schemas.openxmlformats.org/officeDocument/2006/relationships/hyperlink" Target="mailto:evandro.escobar@neon.com.br" TargetMode="External"/><Relationship Id="rId77" Type="http://schemas.openxmlformats.org/officeDocument/2006/relationships/hyperlink" Target="mailto:andreza.pimenta@neon.com.br" TargetMode="External"/><Relationship Id="rId76" Type="http://schemas.openxmlformats.org/officeDocument/2006/relationships/hyperlink" Target="mailto:stephanie.calandrine@neon.com.br" TargetMode="External"/><Relationship Id="rId79" Type="http://schemas.openxmlformats.org/officeDocument/2006/relationships/hyperlink" Target="mailto:andreza.pimenta@neon.com.br" TargetMode="External"/><Relationship Id="rId78" Type="http://schemas.openxmlformats.org/officeDocument/2006/relationships/hyperlink" Target="mailto:stephanie.calandrine@neon.com.br" TargetMode="External"/><Relationship Id="rId71" Type="http://schemas.openxmlformats.org/officeDocument/2006/relationships/hyperlink" Target="mailto:amanda.komuta@neon.com.br" TargetMode="External"/><Relationship Id="rId70" Type="http://schemas.openxmlformats.org/officeDocument/2006/relationships/hyperlink" Target="mailto:sabrina.mendes@neon.com.br" TargetMode="External"/><Relationship Id="rId62" Type="http://schemas.openxmlformats.org/officeDocument/2006/relationships/hyperlink" Target="mailto:sabrina.mendes@neon.com.br" TargetMode="External"/><Relationship Id="rId61" Type="http://schemas.openxmlformats.org/officeDocument/2006/relationships/hyperlink" Target="mailto:thiago.ppereira@neon.com.br" TargetMode="External"/><Relationship Id="rId64" Type="http://schemas.openxmlformats.org/officeDocument/2006/relationships/hyperlink" Target="mailto:stephanie.calandrine@neon.com.br" TargetMode="External"/><Relationship Id="rId63" Type="http://schemas.openxmlformats.org/officeDocument/2006/relationships/hyperlink" Target="mailto:sabrina.mendes@neon.com.br" TargetMode="External"/><Relationship Id="rId66" Type="http://schemas.openxmlformats.org/officeDocument/2006/relationships/hyperlink" Target="mailto:carina.pinha@neon.com.br" TargetMode="External"/><Relationship Id="rId65" Type="http://schemas.openxmlformats.org/officeDocument/2006/relationships/hyperlink" Target="mailto:sabrina.mendes@neon.com.br" TargetMode="External"/><Relationship Id="rId68" Type="http://schemas.openxmlformats.org/officeDocument/2006/relationships/hyperlink" Target="mailto:carina.pinha@neon.com.br" TargetMode="External"/><Relationship Id="rId67" Type="http://schemas.openxmlformats.org/officeDocument/2006/relationships/hyperlink" Target="mailto:icaro.ribeiro@neon.com.br" TargetMode="External"/><Relationship Id="rId60" Type="http://schemas.openxmlformats.org/officeDocument/2006/relationships/hyperlink" Target="mailto:thiago.ppereira@neon.com.br" TargetMode="External"/><Relationship Id="rId69" Type="http://schemas.openxmlformats.org/officeDocument/2006/relationships/hyperlink" Target="mailto:sabrina.mendes@neon.com.br" TargetMode="External"/><Relationship Id="rId51" Type="http://schemas.openxmlformats.org/officeDocument/2006/relationships/hyperlink" Target="mailto:carina.pinha@neon.com.br" TargetMode="External"/><Relationship Id="rId50" Type="http://schemas.openxmlformats.org/officeDocument/2006/relationships/hyperlink" Target="mailto:evandro.escobar@neon.com.br" TargetMode="External"/><Relationship Id="rId53" Type="http://schemas.openxmlformats.org/officeDocument/2006/relationships/hyperlink" Target="mailto:carina.pinha@neon.com.br" TargetMode="External"/><Relationship Id="rId52" Type="http://schemas.openxmlformats.org/officeDocument/2006/relationships/hyperlink" Target="mailto:sabrina.mendes@neon.com.br" TargetMode="External"/><Relationship Id="rId55" Type="http://schemas.openxmlformats.org/officeDocument/2006/relationships/hyperlink" Target="mailto:carina.pinha@neon.com.br" TargetMode="External"/><Relationship Id="rId54" Type="http://schemas.openxmlformats.org/officeDocument/2006/relationships/hyperlink" Target="mailto:sabrina.mendes@neon.com.br" TargetMode="External"/><Relationship Id="rId57" Type="http://schemas.openxmlformats.org/officeDocument/2006/relationships/hyperlink" Target="mailto:andreza.pimenta@neon.com.br" TargetMode="External"/><Relationship Id="rId56" Type="http://schemas.openxmlformats.org/officeDocument/2006/relationships/hyperlink" Target="mailto:sabrina.mendes@neon.com.br" TargetMode="External"/><Relationship Id="rId59" Type="http://schemas.openxmlformats.org/officeDocument/2006/relationships/hyperlink" Target="mailto:thiago.ppereira@neon.com.br" TargetMode="External"/><Relationship Id="rId58" Type="http://schemas.openxmlformats.org/officeDocument/2006/relationships/hyperlink" Target="mailto:thiago.ppereira@neon.com.b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invite/b/68cc084f3469d7a288a3b32f/ATTI277b77ff434a151308f508f48a60f9e2F24B04B4/backlog-pa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carina.pinha@neon.com.br" TargetMode="External"/><Relationship Id="rId2" Type="http://schemas.openxmlformats.org/officeDocument/2006/relationships/hyperlink" Target="mailto:andreza.pimenta@neon.com.br" TargetMode="External"/><Relationship Id="rId3" Type="http://schemas.openxmlformats.org/officeDocument/2006/relationships/hyperlink" Target="mailto:thiago.ppereira@neon.com.br" TargetMode="External"/><Relationship Id="rId4" Type="http://schemas.openxmlformats.org/officeDocument/2006/relationships/hyperlink" Target="mailto:stephanie.calandrine@neon.com.br" TargetMode="External"/><Relationship Id="rId5" Type="http://schemas.openxmlformats.org/officeDocument/2006/relationships/hyperlink" Target="mailto:sabrina.mendes@neon.com.br" TargetMode="External"/><Relationship Id="rId6" Type="http://schemas.openxmlformats.org/officeDocument/2006/relationships/hyperlink" Target="mailto:icaro.ribeiro@neon.com.br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rafael.baraccat@neon.com.br" TargetMode="External"/><Relationship Id="rId42" Type="http://schemas.openxmlformats.org/officeDocument/2006/relationships/hyperlink" Target="mailto:rafael.baraccat@neon.com.br" TargetMode="External"/><Relationship Id="rId41" Type="http://schemas.openxmlformats.org/officeDocument/2006/relationships/hyperlink" Target="mailto:rafael.baraccat@neon.com.br" TargetMode="External"/><Relationship Id="rId44" Type="http://schemas.openxmlformats.org/officeDocument/2006/relationships/hyperlink" Target="mailto:gabriela.goncales@neon.com.br" TargetMode="External"/><Relationship Id="rId43" Type="http://schemas.openxmlformats.org/officeDocument/2006/relationships/hyperlink" Target="mailto:rafael.baraccat@neon.com.br" TargetMode="External"/><Relationship Id="rId46" Type="http://schemas.openxmlformats.org/officeDocument/2006/relationships/hyperlink" Target="mailto:gabriela.goncales@neon.com.br" TargetMode="External"/><Relationship Id="rId45" Type="http://schemas.openxmlformats.org/officeDocument/2006/relationships/hyperlink" Target="mailto:rafael.baraccat@neon.com.br" TargetMode="External"/><Relationship Id="rId107" Type="http://schemas.openxmlformats.org/officeDocument/2006/relationships/hyperlink" Target="mailto:thiago.ppereira@neon.com.br" TargetMode="External"/><Relationship Id="rId106" Type="http://schemas.openxmlformats.org/officeDocument/2006/relationships/hyperlink" Target="mailto:thiago.ppereira@neon.com.br" TargetMode="External"/><Relationship Id="rId105" Type="http://schemas.openxmlformats.org/officeDocument/2006/relationships/hyperlink" Target="mailto:sabrina.mendes@neon.com.br" TargetMode="External"/><Relationship Id="rId104" Type="http://schemas.openxmlformats.org/officeDocument/2006/relationships/hyperlink" Target="mailto:amanda.komuta@neon.com.br" TargetMode="External"/><Relationship Id="rId109" Type="http://schemas.openxmlformats.org/officeDocument/2006/relationships/hyperlink" Target="mailto:sabrina.mendes@neon.com.br" TargetMode="External"/><Relationship Id="rId108" Type="http://schemas.openxmlformats.org/officeDocument/2006/relationships/hyperlink" Target="mailto:sabrina.mendes@neon.com.br" TargetMode="External"/><Relationship Id="rId48" Type="http://schemas.openxmlformats.org/officeDocument/2006/relationships/hyperlink" Target="mailto:gabriela.goncales@neon.com.br" TargetMode="External"/><Relationship Id="rId47" Type="http://schemas.openxmlformats.org/officeDocument/2006/relationships/hyperlink" Target="mailto:rafael.baraccat@neon.com.br" TargetMode="External"/><Relationship Id="rId49" Type="http://schemas.openxmlformats.org/officeDocument/2006/relationships/hyperlink" Target="mailto:rafael.baraccat@neon.com.br" TargetMode="External"/><Relationship Id="rId103" Type="http://schemas.openxmlformats.org/officeDocument/2006/relationships/hyperlink" Target="mailto:sabrina.mendes@neon.com.br" TargetMode="External"/><Relationship Id="rId102" Type="http://schemas.openxmlformats.org/officeDocument/2006/relationships/hyperlink" Target="mailto:amanda.komuta@neon.com.br" TargetMode="External"/><Relationship Id="rId101" Type="http://schemas.openxmlformats.org/officeDocument/2006/relationships/hyperlink" Target="mailto:sabrina.mendes@neon.com.br" TargetMode="External"/><Relationship Id="rId100" Type="http://schemas.openxmlformats.org/officeDocument/2006/relationships/hyperlink" Target="mailto:amanda.komuta@neon.com.br" TargetMode="External"/><Relationship Id="rId31" Type="http://schemas.openxmlformats.org/officeDocument/2006/relationships/hyperlink" Target="mailto:sabrina.mendes@neon.com.br" TargetMode="External"/><Relationship Id="rId30" Type="http://schemas.openxmlformats.org/officeDocument/2006/relationships/hyperlink" Target="mailto:julia.longo@neon.com.br" TargetMode="External"/><Relationship Id="rId33" Type="http://schemas.openxmlformats.org/officeDocument/2006/relationships/hyperlink" Target="mailto:sabrina.mendes@neon.com.br" TargetMode="External"/><Relationship Id="rId32" Type="http://schemas.openxmlformats.org/officeDocument/2006/relationships/hyperlink" Target="mailto:julia.longo@neon.com.br" TargetMode="External"/><Relationship Id="rId35" Type="http://schemas.openxmlformats.org/officeDocument/2006/relationships/hyperlink" Target="mailto:sabrina.mendes@neon.com.br" TargetMode="External"/><Relationship Id="rId34" Type="http://schemas.openxmlformats.org/officeDocument/2006/relationships/hyperlink" Target="mailto:julia.longo@neon.com.br" TargetMode="External"/><Relationship Id="rId37" Type="http://schemas.openxmlformats.org/officeDocument/2006/relationships/hyperlink" Target="mailto:sabrina.mendes@neon.com.br" TargetMode="External"/><Relationship Id="rId36" Type="http://schemas.openxmlformats.org/officeDocument/2006/relationships/hyperlink" Target="mailto:julia.longo@neon.com.br" TargetMode="External"/><Relationship Id="rId39" Type="http://schemas.openxmlformats.org/officeDocument/2006/relationships/hyperlink" Target="mailto:rafael.baraccat@neon.com.br" TargetMode="External"/><Relationship Id="rId38" Type="http://schemas.openxmlformats.org/officeDocument/2006/relationships/hyperlink" Target="mailto:julia.longo@neon.com.br" TargetMode="External"/><Relationship Id="rId20" Type="http://schemas.openxmlformats.org/officeDocument/2006/relationships/hyperlink" Target="mailto:thiago.ppereira@neon.com.br" TargetMode="External"/><Relationship Id="rId22" Type="http://schemas.openxmlformats.org/officeDocument/2006/relationships/hyperlink" Target="mailto:sabrina.mendes@neon.com.br" TargetMode="External"/><Relationship Id="rId21" Type="http://schemas.openxmlformats.org/officeDocument/2006/relationships/hyperlink" Target="mailto:julia.longo@neon.com.br" TargetMode="External"/><Relationship Id="rId24" Type="http://schemas.openxmlformats.org/officeDocument/2006/relationships/hyperlink" Target="mailto:sabrina.mendes@neon.com.br" TargetMode="External"/><Relationship Id="rId23" Type="http://schemas.openxmlformats.org/officeDocument/2006/relationships/hyperlink" Target="mailto:fernanda.almeida@neon.com.br" TargetMode="External"/><Relationship Id="rId129" Type="http://schemas.openxmlformats.org/officeDocument/2006/relationships/hyperlink" Target="mailto:andreza.pimenta@neon.com.br" TargetMode="External"/><Relationship Id="rId128" Type="http://schemas.openxmlformats.org/officeDocument/2006/relationships/hyperlink" Target="mailto:sabrina.mendes@neon.com.br" TargetMode="External"/><Relationship Id="rId127" Type="http://schemas.openxmlformats.org/officeDocument/2006/relationships/hyperlink" Target="mailto:andreza.pimenta@neon.com.br" TargetMode="External"/><Relationship Id="rId126" Type="http://schemas.openxmlformats.org/officeDocument/2006/relationships/hyperlink" Target="mailto:sabrina.mendes@neon.com.br" TargetMode="External"/><Relationship Id="rId26" Type="http://schemas.openxmlformats.org/officeDocument/2006/relationships/hyperlink" Target="mailto:sabrina.mendes@neon.com.br" TargetMode="External"/><Relationship Id="rId121" Type="http://schemas.openxmlformats.org/officeDocument/2006/relationships/hyperlink" Target="mailto:sabrina.mendes@neon.com.br" TargetMode="External"/><Relationship Id="rId25" Type="http://schemas.openxmlformats.org/officeDocument/2006/relationships/hyperlink" Target="mailto:julia.longo@neon.com.br" TargetMode="External"/><Relationship Id="rId120" Type="http://schemas.openxmlformats.org/officeDocument/2006/relationships/hyperlink" Target="mailto:thiago.ppereira@neon.com.br" TargetMode="External"/><Relationship Id="rId28" Type="http://schemas.openxmlformats.org/officeDocument/2006/relationships/hyperlink" Target="mailto:sabrina.mendes@neon.com.br" TargetMode="External"/><Relationship Id="rId27" Type="http://schemas.openxmlformats.org/officeDocument/2006/relationships/hyperlink" Target="mailto:julia.longo@neon.com.br" TargetMode="External"/><Relationship Id="rId125" Type="http://schemas.openxmlformats.org/officeDocument/2006/relationships/hyperlink" Target="mailto:sabrina.mendes@neon.com.br" TargetMode="External"/><Relationship Id="rId29" Type="http://schemas.openxmlformats.org/officeDocument/2006/relationships/hyperlink" Target="mailto:keyse.fonseca@neon.com.br" TargetMode="External"/><Relationship Id="rId124" Type="http://schemas.openxmlformats.org/officeDocument/2006/relationships/hyperlink" Target="mailto:thiago.ppereira@neon.com.br" TargetMode="External"/><Relationship Id="rId123" Type="http://schemas.openxmlformats.org/officeDocument/2006/relationships/hyperlink" Target="mailto:sabrina.mendes@neon.com.br" TargetMode="External"/><Relationship Id="rId122" Type="http://schemas.openxmlformats.org/officeDocument/2006/relationships/hyperlink" Target="mailto:thiago.ppereira@neon.com.br" TargetMode="External"/><Relationship Id="rId95" Type="http://schemas.openxmlformats.org/officeDocument/2006/relationships/hyperlink" Target="mailto:sabrina.mendes@neon.com.br" TargetMode="External"/><Relationship Id="rId94" Type="http://schemas.openxmlformats.org/officeDocument/2006/relationships/hyperlink" Target="mailto:amanda.komuta@neon.com.br" TargetMode="External"/><Relationship Id="rId97" Type="http://schemas.openxmlformats.org/officeDocument/2006/relationships/hyperlink" Target="mailto:sabrina.mendes@neon.com.br" TargetMode="External"/><Relationship Id="rId96" Type="http://schemas.openxmlformats.org/officeDocument/2006/relationships/hyperlink" Target="mailto:sabrina.mendes@neon.com.br" TargetMode="External"/><Relationship Id="rId11" Type="http://schemas.openxmlformats.org/officeDocument/2006/relationships/hyperlink" Target="mailto:keyse.fonseca@neon.com.br" TargetMode="External"/><Relationship Id="rId99" Type="http://schemas.openxmlformats.org/officeDocument/2006/relationships/hyperlink" Target="mailto:sabrina.mendes@neon.com.br" TargetMode="External"/><Relationship Id="rId10" Type="http://schemas.openxmlformats.org/officeDocument/2006/relationships/hyperlink" Target="mailto:thiago.ppereira@neon.com.br" TargetMode="External"/><Relationship Id="rId98" Type="http://schemas.openxmlformats.org/officeDocument/2006/relationships/hyperlink" Target="mailto:sabrina.mendes@neon.com.br" TargetMode="External"/><Relationship Id="rId13" Type="http://schemas.openxmlformats.org/officeDocument/2006/relationships/hyperlink" Target="mailto:julia.longo@neon.com.br" TargetMode="External"/><Relationship Id="rId12" Type="http://schemas.openxmlformats.org/officeDocument/2006/relationships/hyperlink" Target="mailto:rafael.baraccat@neon.com.br" TargetMode="External"/><Relationship Id="rId91" Type="http://schemas.openxmlformats.org/officeDocument/2006/relationships/hyperlink" Target="mailto:sabrina.mendes@neon.com.br" TargetMode="External"/><Relationship Id="rId90" Type="http://schemas.openxmlformats.org/officeDocument/2006/relationships/hyperlink" Target="mailto:amanda.komuta@neon.com.br" TargetMode="External"/><Relationship Id="rId93" Type="http://schemas.openxmlformats.org/officeDocument/2006/relationships/hyperlink" Target="mailto:sabrina.mendes@neon.com.br" TargetMode="External"/><Relationship Id="rId92" Type="http://schemas.openxmlformats.org/officeDocument/2006/relationships/hyperlink" Target="mailto:amanda.komuta@neon.com.br" TargetMode="External"/><Relationship Id="rId118" Type="http://schemas.openxmlformats.org/officeDocument/2006/relationships/hyperlink" Target="mailto:andreza.pimenta@neon.com.br" TargetMode="External"/><Relationship Id="rId117" Type="http://schemas.openxmlformats.org/officeDocument/2006/relationships/hyperlink" Target="mailto:sabrina.mendes@neon.com.br" TargetMode="External"/><Relationship Id="rId116" Type="http://schemas.openxmlformats.org/officeDocument/2006/relationships/hyperlink" Target="mailto:thiago.ppereira@neon.com.br" TargetMode="External"/><Relationship Id="rId115" Type="http://schemas.openxmlformats.org/officeDocument/2006/relationships/hyperlink" Target="mailto:sabrina.mendes@neon.com.br" TargetMode="External"/><Relationship Id="rId119" Type="http://schemas.openxmlformats.org/officeDocument/2006/relationships/hyperlink" Target="mailto:sabrina.mendes@neon.com.br" TargetMode="External"/><Relationship Id="rId15" Type="http://schemas.openxmlformats.org/officeDocument/2006/relationships/hyperlink" Target="mailto:julia.longo@neon.com.br" TargetMode="External"/><Relationship Id="rId110" Type="http://schemas.openxmlformats.org/officeDocument/2006/relationships/hyperlink" Target="mailto:sabrina.mendes@neon.com.br" TargetMode="External"/><Relationship Id="rId14" Type="http://schemas.openxmlformats.org/officeDocument/2006/relationships/hyperlink" Target="mailto:julia.longo@neon.com.br" TargetMode="External"/><Relationship Id="rId17" Type="http://schemas.openxmlformats.org/officeDocument/2006/relationships/hyperlink" Target="mailto:fernanda.almeida@neon.com.br" TargetMode="External"/><Relationship Id="rId16" Type="http://schemas.openxmlformats.org/officeDocument/2006/relationships/hyperlink" Target="mailto:julia.longo@neon.com.br" TargetMode="External"/><Relationship Id="rId19" Type="http://schemas.openxmlformats.org/officeDocument/2006/relationships/hyperlink" Target="mailto:rafael.baraccat@neon.com.br" TargetMode="External"/><Relationship Id="rId114" Type="http://schemas.openxmlformats.org/officeDocument/2006/relationships/hyperlink" Target="mailto:thiago.ppereira@neon.com.br" TargetMode="External"/><Relationship Id="rId18" Type="http://schemas.openxmlformats.org/officeDocument/2006/relationships/hyperlink" Target="mailto:rafael.baraccat@neon.com.br" TargetMode="External"/><Relationship Id="rId113" Type="http://schemas.openxmlformats.org/officeDocument/2006/relationships/hyperlink" Target="mailto:sabrina.mendes@neon.com.br" TargetMode="External"/><Relationship Id="rId112" Type="http://schemas.openxmlformats.org/officeDocument/2006/relationships/hyperlink" Target="mailto:thiago.ppereira@neon.com.br" TargetMode="External"/><Relationship Id="rId111" Type="http://schemas.openxmlformats.org/officeDocument/2006/relationships/hyperlink" Target="mailto:thiago.ppereira@neon.com.br" TargetMode="External"/><Relationship Id="rId84" Type="http://schemas.openxmlformats.org/officeDocument/2006/relationships/hyperlink" Target="mailto:andressa.lopes@neon.com.br" TargetMode="External"/><Relationship Id="rId83" Type="http://schemas.openxmlformats.org/officeDocument/2006/relationships/hyperlink" Target="mailto:amanda.komuta@neon.com.br" TargetMode="External"/><Relationship Id="rId86" Type="http://schemas.openxmlformats.org/officeDocument/2006/relationships/hyperlink" Target="mailto:sabrina.mendes@neon.com.br" TargetMode="External"/><Relationship Id="rId85" Type="http://schemas.openxmlformats.org/officeDocument/2006/relationships/hyperlink" Target="mailto:sabrina.mendes@neon.com.br" TargetMode="External"/><Relationship Id="rId88" Type="http://schemas.openxmlformats.org/officeDocument/2006/relationships/hyperlink" Target="mailto:amanda.komuta@neon.com.br" TargetMode="External"/><Relationship Id="rId87" Type="http://schemas.openxmlformats.org/officeDocument/2006/relationships/hyperlink" Target="mailto:amanda.komuta@neon.com.br" TargetMode="External"/><Relationship Id="rId89" Type="http://schemas.openxmlformats.org/officeDocument/2006/relationships/hyperlink" Target="mailto:sabrina.mendes@neon.com.br" TargetMode="External"/><Relationship Id="rId80" Type="http://schemas.openxmlformats.org/officeDocument/2006/relationships/hyperlink" Target="mailto:sabrina.mendes@neon.com.br" TargetMode="External"/><Relationship Id="rId82" Type="http://schemas.openxmlformats.org/officeDocument/2006/relationships/hyperlink" Target="mailto:sabrina.mendes@neon.com.br" TargetMode="External"/><Relationship Id="rId81" Type="http://schemas.openxmlformats.org/officeDocument/2006/relationships/hyperlink" Target="mailto:amanda.komuta@neon.com.br" TargetMode="External"/><Relationship Id="rId1" Type="http://schemas.openxmlformats.org/officeDocument/2006/relationships/hyperlink" Target="mailto:rafael.baraccat@neon.com.br" TargetMode="External"/><Relationship Id="rId2" Type="http://schemas.openxmlformats.org/officeDocument/2006/relationships/hyperlink" Target="mailto:thiago.ppereira@neon.com.br" TargetMode="External"/><Relationship Id="rId3" Type="http://schemas.openxmlformats.org/officeDocument/2006/relationships/hyperlink" Target="mailto:rafael.baraccat@neon.com.br" TargetMode="External"/><Relationship Id="rId4" Type="http://schemas.openxmlformats.org/officeDocument/2006/relationships/hyperlink" Target="mailto:thiago.ppereira@neon.com.br" TargetMode="External"/><Relationship Id="rId9" Type="http://schemas.openxmlformats.org/officeDocument/2006/relationships/hyperlink" Target="mailto:andreza.pimenta@neon.com.br" TargetMode="External"/><Relationship Id="rId5" Type="http://schemas.openxmlformats.org/officeDocument/2006/relationships/hyperlink" Target="mailto:rafael.baraccat@neon.com.br" TargetMode="External"/><Relationship Id="rId6" Type="http://schemas.openxmlformats.org/officeDocument/2006/relationships/hyperlink" Target="mailto:thiago.ppereira@neon.com.br" TargetMode="External"/><Relationship Id="rId7" Type="http://schemas.openxmlformats.org/officeDocument/2006/relationships/hyperlink" Target="mailto:andreza.pimenta@neon.com.br" TargetMode="External"/><Relationship Id="rId8" Type="http://schemas.openxmlformats.org/officeDocument/2006/relationships/hyperlink" Target="mailto:thiago.ppereira@neon.com.br" TargetMode="External"/><Relationship Id="rId73" Type="http://schemas.openxmlformats.org/officeDocument/2006/relationships/hyperlink" Target="mailto:amanda.komuta@neon.com.br" TargetMode="External"/><Relationship Id="rId72" Type="http://schemas.openxmlformats.org/officeDocument/2006/relationships/hyperlink" Target="mailto:andressa.lopes@neon.com.br" TargetMode="External"/><Relationship Id="rId75" Type="http://schemas.openxmlformats.org/officeDocument/2006/relationships/hyperlink" Target="mailto:andressa.lopes@neon.com.br" TargetMode="External"/><Relationship Id="rId74" Type="http://schemas.openxmlformats.org/officeDocument/2006/relationships/hyperlink" Target="mailto:andressa.lopes@neon.com.br" TargetMode="External"/><Relationship Id="rId77" Type="http://schemas.openxmlformats.org/officeDocument/2006/relationships/hyperlink" Target="mailto:andressa.lopes@neon.com.br" TargetMode="External"/><Relationship Id="rId76" Type="http://schemas.openxmlformats.org/officeDocument/2006/relationships/hyperlink" Target="mailto:sabrina.mendes@neon.com.br" TargetMode="External"/><Relationship Id="rId79" Type="http://schemas.openxmlformats.org/officeDocument/2006/relationships/hyperlink" Target="mailto:andressa.lopes@neon.com.br" TargetMode="External"/><Relationship Id="rId78" Type="http://schemas.openxmlformats.org/officeDocument/2006/relationships/hyperlink" Target="mailto:sabrina.mendes@neon.com.br" TargetMode="External"/><Relationship Id="rId71" Type="http://schemas.openxmlformats.org/officeDocument/2006/relationships/hyperlink" Target="mailto:sabrina.mendes@neon.com.br" TargetMode="External"/><Relationship Id="rId70" Type="http://schemas.openxmlformats.org/officeDocument/2006/relationships/hyperlink" Target="mailto:andressa.lopes@neon.com.br" TargetMode="External"/><Relationship Id="rId132" Type="http://schemas.openxmlformats.org/officeDocument/2006/relationships/hyperlink" Target="mailto:sabrina.mendes@neon.com.br" TargetMode="External"/><Relationship Id="rId131" Type="http://schemas.openxmlformats.org/officeDocument/2006/relationships/hyperlink" Target="mailto:thiago.ppereira@neon.com.br" TargetMode="External"/><Relationship Id="rId130" Type="http://schemas.openxmlformats.org/officeDocument/2006/relationships/hyperlink" Target="mailto:sabrina.mendes@neon.com.br" TargetMode="External"/><Relationship Id="rId133" Type="http://schemas.openxmlformats.org/officeDocument/2006/relationships/drawing" Target="../drawings/drawing7.xml"/><Relationship Id="rId62" Type="http://schemas.openxmlformats.org/officeDocument/2006/relationships/hyperlink" Target="mailto:rafael.baraccat@neon.com.br" TargetMode="External"/><Relationship Id="rId61" Type="http://schemas.openxmlformats.org/officeDocument/2006/relationships/hyperlink" Target="mailto:thiago.ppereira@neon.com.br" TargetMode="External"/><Relationship Id="rId64" Type="http://schemas.openxmlformats.org/officeDocument/2006/relationships/hyperlink" Target="https://docs.google.com/document/d/1uEdgxsfjXVkTCpePD3BvuGSTFTFg_qIDgPUFExD_hU4/edit?usp=sharing" TargetMode="External"/><Relationship Id="rId63" Type="http://schemas.openxmlformats.org/officeDocument/2006/relationships/hyperlink" Target="mailto:rafael.baraccat@neon.com.br" TargetMode="External"/><Relationship Id="rId66" Type="http://schemas.openxmlformats.org/officeDocument/2006/relationships/hyperlink" Target="mailto:andressa.lopes@neon.com.br" TargetMode="External"/><Relationship Id="rId65" Type="http://schemas.openxmlformats.org/officeDocument/2006/relationships/hyperlink" Target="mailto:sabrina.mendes@neon.com.br" TargetMode="External"/><Relationship Id="rId68" Type="http://schemas.openxmlformats.org/officeDocument/2006/relationships/hyperlink" Target="mailto:sabrina.mendes@neon.com.br" TargetMode="External"/><Relationship Id="rId67" Type="http://schemas.openxmlformats.org/officeDocument/2006/relationships/hyperlink" Target="mailto:andressa.lopes@neon.com.br" TargetMode="External"/><Relationship Id="rId60" Type="http://schemas.openxmlformats.org/officeDocument/2006/relationships/hyperlink" Target="mailto:gabriela.goncales@neon.com.br" TargetMode="External"/><Relationship Id="rId69" Type="http://schemas.openxmlformats.org/officeDocument/2006/relationships/hyperlink" Target="mailto:sabrina.mendes@neon.com.br" TargetMode="External"/><Relationship Id="rId51" Type="http://schemas.openxmlformats.org/officeDocument/2006/relationships/hyperlink" Target="mailto:gabriela.goncales@neon.com.br" TargetMode="External"/><Relationship Id="rId50" Type="http://schemas.openxmlformats.org/officeDocument/2006/relationships/hyperlink" Target="mailto:thiago.ppereira@neon.com.br" TargetMode="External"/><Relationship Id="rId53" Type="http://schemas.openxmlformats.org/officeDocument/2006/relationships/hyperlink" Target="mailto:gabriela.goncales@neon.com.br" TargetMode="External"/><Relationship Id="rId52" Type="http://schemas.openxmlformats.org/officeDocument/2006/relationships/hyperlink" Target="mailto:rafael.baraccat@neon.com.br" TargetMode="External"/><Relationship Id="rId55" Type="http://schemas.openxmlformats.org/officeDocument/2006/relationships/hyperlink" Target="mailto:thiago.ppereira@neon.com.br" TargetMode="External"/><Relationship Id="rId54" Type="http://schemas.openxmlformats.org/officeDocument/2006/relationships/hyperlink" Target="mailto:rafael.baraccat@neon.com.br" TargetMode="External"/><Relationship Id="rId57" Type="http://schemas.openxmlformats.org/officeDocument/2006/relationships/hyperlink" Target="mailto:rafael.baraccat@neon.com.br" TargetMode="External"/><Relationship Id="rId56" Type="http://schemas.openxmlformats.org/officeDocument/2006/relationships/hyperlink" Target="mailto:gabriela.goncales@neon.com.br" TargetMode="External"/><Relationship Id="rId59" Type="http://schemas.openxmlformats.org/officeDocument/2006/relationships/hyperlink" Target="mailto:gabriela.goncales@neon.com.br" TargetMode="External"/><Relationship Id="rId58" Type="http://schemas.openxmlformats.org/officeDocument/2006/relationships/hyperlink" Target="mailto:thiago.ppereira@neon.com.br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andreza.pimenta@neon.com.br" TargetMode="External"/><Relationship Id="rId42" Type="http://schemas.openxmlformats.org/officeDocument/2006/relationships/hyperlink" Target="mailto:andreza.pimenta@neon.com.br" TargetMode="External"/><Relationship Id="rId41" Type="http://schemas.openxmlformats.org/officeDocument/2006/relationships/hyperlink" Target="mailto:stephanie.calandrine@neon.com.br" TargetMode="External"/><Relationship Id="rId44" Type="http://schemas.openxmlformats.org/officeDocument/2006/relationships/hyperlink" Target="mailto:carina.pinha@neon.com.br" TargetMode="External"/><Relationship Id="rId43" Type="http://schemas.openxmlformats.org/officeDocument/2006/relationships/hyperlink" Target="mailto:stephanie.calandrine@neon.com.br" TargetMode="External"/><Relationship Id="rId46" Type="http://schemas.openxmlformats.org/officeDocument/2006/relationships/hyperlink" Target="mailto:carina.pinha@neon.com.br" TargetMode="External"/><Relationship Id="rId45" Type="http://schemas.openxmlformats.org/officeDocument/2006/relationships/hyperlink" Target="mailto:evandro.escobar@neon.com.br" TargetMode="External"/><Relationship Id="rId48" Type="http://schemas.openxmlformats.org/officeDocument/2006/relationships/hyperlink" Target="mailto:carina.pinha@neon.com.br" TargetMode="External"/><Relationship Id="rId47" Type="http://schemas.openxmlformats.org/officeDocument/2006/relationships/hyperlink" Target="mailto:sabrina.mendes@neon.com.br" TargetMode="External"/><Relationship Id="rId49" Type="http://schemas.openxmlformats.org/officeDocument/2006/relationships/hyperlink" Target="mailto:sabrina.mendes@neon.com.br" TargetMode="External"/><Relationship Id="rId100" Type="http://schemas.openxmlformats.org/officeDocument/2006/relationships/drawing" Target="../drawings/drawing13.xml"/><Relationship Id="rId31" Type="http://schemas.openxmlformats.org/officeDocument/2006/relationships/hyperlink" Target="mailto:sabrina.mendes@neon.com.br" TargetMode="External"/><Relationship Id="rId30" Type="http://schemas.openxmlformats.org/officeDocument/2006/relationships/hyperlink" Target="mailto:thiago.ppereira@neon.com.br" TargetMode="External"/><Relationship Id="rId33" Type="http://schemas.openxmlformats.org/officeDocument/2006/relationships/hyperlink" Target="mailto:stephanie.calandrine@neon.com.br" TargetMode="External"/><Relationship Id="rId32" Type="http://schemas.openxmlformats.org/officeDocument/2006/relationships/hyperlink" Target="mailto:amanda.komuta@neon.com.br" TargetMode="External"/><Relationship Id="rId35" Type="http://schemas.openxmlformats.org/officeDocument/2006/relationships/hyperlink" Target="mailto:sabrina.mendes@neon.com.br" TargetMode="External"/><Relationship Id="rId34" Type="http://schemas.openxmlformats.org/officeDocument/2006/relationships/hyperlink" Target="mailto:stephanie.calandrine@neon.com.br" TargetMode="External"/><Relationship Id="rId37" Type="http://schemas.openxmlformats.org/officeDocument/2006/relationships/hyperlink" Target="mailto:sabrina.mendes@neon.com.br" TargetMode="External"/><Relationship Id="rId36" Type="http://schemas.openxmlformats.org/officeDocument/2006/relationships/hyperlink" Target="mailto:icaro.ribeiro@neon.com.br" TargetMode="External"/><Relationship Id="rId39" Type="http://schemas.openxmlformats.org/officeDocument/2006/relationships/hyperlink" Target="mailto:esteban.gonzalez@neon.com.br" TargetMode="External"/><Relationship Id="rId38" Type="http://schemas.openxmlformats.org/officeDocument/2006/relationships/hyperlink" Target="mailto:carina.pinha@neon.com.br" TargetMode="External"/><Relationship Id="rId20" Type="http://schemas.openxmlformats.org/officeDocument/2006/relationships/hyperlink" Target="mailto:rafael.baraccat@neon.com.br" TargetMode="External"/><Relationship Id="rId22" Type="http://schemas.openxmlformats.org/officeDocument/2006/relationships/hyperlink" Target="mailto:rafael.baraccat@neon.com.br" TargetMode="External"/><Relationship Id="rId21" Type="http://schemas.openxmlformats.org/officeDocument/2006/relationships/hyperlink" Target="mailto:rafael.baraccat@neon.com.br" TargetMode="External"/><Relationship Id="rId24" Type="http://schemas.openxmlformats.org/officeDocument/2006/relationships/hyperlink" Target="mailto:rafael.baraccat@neon.com.br" TargetMode="External"/><Relationship Id="rId23" Type="http://schemas.openxmlformats.org/officeDocument/2006/relationships/hyperlink" Target="mailto:carina.pinha@neon.com.br" TargetMode="External"/><Relationship Id="rId26" Type="http://schemas.openxmlformats.org/officeDocument/2006/relationships/hyperlink" Target="mailto:rafael.baraccat@neon.com.br" TargetMode="External"/><Relationship Id="rId25" Type="http://schemas.openxmlformats.org/officeDocument/2006/relationships/hyperlink" Target="mailto:rafael.baraccat@neon.com.br" TargetMode="External"/><Relationship Id="rId28" Type="http://schemas.openxmlformats.org/officeDocument/2006/relationships/hyperlink" Target="mailto:andreza.pimenta@neon.com.br" TargetMode="External"/><Relationship Id="rId27" Type="http://schemas.openxmlformats.org/officeDocument/2006/relationships/hyperlink" Target="mailto:rafael.baraccat@neon.com.br" TargetMode="External"/><Relationship Id="rId29" Type="http://schemas.openxmlformats.org/officeDocument/2006/relationships/hyperlink" Target="mailto:sabrina.mendes@neon.com.br" TargetMode="External"/><Relationship Id="rId95" Type="http://schemas.openxmlformats.org/officeDocument/2006/relationships/hyperlink" Target="mailto:thiago.ppereira@neon.com.br" TargetMode="External"/><Relationship Id="rId94" Type="http://schemas.openxmlformats.org/officeDocument/2006/relationships/hyperlink" Target="mailto:welligton.dias@neon.com.br" TargetMode="External"/><Relationship Id="rId97" Type="http://schemas.openxmlformats.org/officeDocument/2006/relationships/hyperlink" Target="mailto:thiago.ppereira@neon.com.br" TargetMode="External"/><Relationship Id="rId96" Type="http://schemas.openxmlformats.org/officeDocument/2006/relationships/hyperlink" Target="mailto:carina.pinha@neon.com.br" TargetMode="External"/><Relationship Id="rId11" Type="http://schemas.openxmlformats.org/officeDocument/2006/relationships/hyperlink" Target="mailto:andreza.pimenta@neon.com.br" TargetMode="External"/><Relationship Id="rId99" Type="http://schemas.openxmlformats.org/officeDocument/2006/relationships/hyperlink" Target="mailto:thiago.ppereira@neon.com.br" TargetMode="External"/><Relationship Id="rId10" Type="http://schemas.openxmlformats.org/officeDocument/2006/relationships/hyperlink" Target="mailto:stephanie.calandrine@neon.com.br" TargetMode="External"/><Relationship Id="rId98" Type="http://schemas.openxmlformats.org/officeDocument/2006/relationships/hyperlink" Target="mailto:carina.pinha@neon.com.br" TargetMode="External"/><Relationship Id="rId13" Type="http://schemas.openxmlformats.org/officeDocument/2006/relationships/hyperlink" Target="mailto:rafael.baraccat@neon.com.br" TargetMode="External"/><Relationship Id="rId12" Type="http://schemas.openxmlformats.org/officeDocument/2006/relationships/hyperlink" Target="mailto:andreza.pimenta@neon.com.br" TargetMode="External"/><Relationship Id="rId91" Type="http://schemas.openxmlformats.org/officeDocument/2006/relationships/hyperlink" Target="mailto:thiago.ppereira@neon.com.br" TargetMode="External"/><Relationship Id="rId90" Type="http://schemas.openxmlformats.org/officeDocument/2006/relationships/hyperlink" Target="mailto:thiago.ppereira@neon.com.br" TargetMode="External"/><Relationship Id="rId93" Type="http://schemas.openxmlformats.org/officeDocument/2006/relationships/hyperlink" Target="mailto:thiago.ppereira@neon.com.br" TargetMode="External"/><Relationship Id="rId92" Type="http://schemas.openxmlformats.org/officeDocument/2006/relationships/hyperlink" Target="mailto:welligton.dias@neon.com.br" TargetMode="External"/><Relationship Id="rId15" Type="http://schemas.openxmlformats.org/officeDocument/2006/relationships/hyperlink" Target="mailto:andreza.pimenta@neon.com.br" TargetMode="External"/><Relationship Id="rId14" Type="http://schemas.openxmlformats.org/officeDocument/2006/relationships/hyperlink" Target="mailto:andreza.pimenta@neon.com.br" TargetMode="External"/><Relationship Id="rId17" Type="http://schemas.openxmlformats.org/officeDocument/2006/relationships/hyperlink" Target="mailto:carina.pinha@neon.com.br" TargetMode="External"/><Relationship Id="rId16" Type="http://schemas.openxmlformats.org/officeDocument/2006/relationships/hyperlink" Target="mailto:stephanie.calandrine@neon.com.br" TargetMode="External"/><Relationship Id="rId19" Type="http://schemas.openxmlformats.org/officeDocument/2006/relationships/hyperlink" Target="mailto:carina.pinha@neon.com.br" TargetMode="External"/><Relationship Id="rId18" Type="http://schemas.openxmlformats.org/officeDocument/2006/relationships/hyperlink" Target="mailto:carina.pinha@neon.com.br" TargetMode="External"/><Relationship Id="rId84" Type="http://schemas.openxmlformats.org/officeDocument/2006/relationships/hyperlink" Target="mailto:fernanda.almeida@neon.com.br" TargetMode="External"/><Relationship Id="rId83" Type="http://schemas.openxmlformats.org/officeDocument/2006/relationships/hyperlink" Target="mailto:stephanie.calandrine@neon.com.br" TargetMode="External"/><Relationship Id="rId86" Type="http://schemas.openxmlformats.org/officeDocument/2006/relationships/hyperlink" Target="mailto:fernanda.almeida@neon.com.br" TargetMode="External"/><Relationship Id="rId85" Type="http://schemas.openxmlformats.org/officeDocument/2006/relationships/hyperlink" Target="mailto:stephanie.calandrine@neon.com.br" TargetMode="External"/><Relationship Id="rId88" Type="http://schemas.openxmlformats.org/officeDocument/2006/relationships/hyperlink" Target="mailto:stephanie.calandrine@neon.com.br" TargetMode="External"/><Relationship Id="rId87" Type="http://schemas.openxmlformats.org/officeDocument/2006/relationships/hyperlink" Target="mailto:stephanie.calandrine@neon.com.br" TargetMode="External"/><Relationship Id="rId89" Type="http://schemas.openxmlformats.org/officeDocument/2006/relationships/hyperlink" Target="mailto:thiago.ppereira@neon.com.br" TargetMode="External"/><Relationship Id="rId80" Type="http://schemas.openxmlformats.org/officeDocument/2006/relationships/hyperlink" Target="mailto:carina.pinha@neon.com.br" TargetMode="External"/><Relationship Id="rId82" Type="http://schemas.openxmlformats.org/officeDocument/2006/relationships/hyperlink" Target="mailto:andreza.pimenta@neon.com.br" TargetMode="External"/><Relationship Id="rId81" Type="http://schemas.openxmlformats.org/officeDocument/2006/relationships/hyperlink" Target="mailto:andreza.pimenta@neon.com.br" TargetMode="External"/><Relationship Id="rId1" Type="http://schemas.openxmlformats.org/officeDocument/2006/relationships/hyperlink" Target="mailto:amanda.komuta@neon.com.br" TargetMode="External"/><Relationship Id="rId2" Type="http://schemas.openxmlformats.org/officeDocument/2006/relationships/hyperlink" Target="mailto:andreza.pimenta@neon.com.br" TargetMode="External"/><Relationship Id="rId3" Type="http://schemas.openxmlformats.org/officeDocument/2006/relationships/hyperlink" Target="mailto:andreza.pimenta@neon.com.br" TargetMode="External"/><Relationship Id="rId4" Type="http://schemas.openxmlformats.org/officeDocument/2006/relationships/hyperlink" Target="mailto:amanda.komuta@neon.com.br" TargetMode="External"/><Relationship Id="rId9" Type="http://schemas.openxmlformats.org/officeDocument/2006/relationships/hyperlink" Target="mailto:thiago.ppereira@neon.com.br" TargetMode="External"/><Relationship Id="rId5" Type="http://schemas.openxmlformats.org/officeDocument/2006/relationships/hyperlink" Target="mailto:amanda.komuta@neon.com.br" TargetMode="External"/><Relationship Id="rId6" Type="http://schemas.openxmlformats.org/officeDocument/2006/relationships/hyperlink" Target="mailto:andreza.pimenta@neon.com.br" TargetMode="External"/><Relationship Id="rId7" Type="http://schemas.openxmlformats.org/officeDocument/2006/relationships/hyperlink" Target="mailto:andreza.pimenta@neon.com.br" TargetMode="External"/><Relationship Id="rId8" Type="http://schemas.openxmlformats.org/officeDocument/2006/relationships/hyperlink" Target="mailto:andreza.pimenta@neon.com.br" TargetMode="External"/><Relationship Id="rId73" Type="http://schemas.openxmlformats.org/officeDocument/2006/relationships/hyperlink" Target="mailto:andreza.pimenta@neon.com.br" TargetMode="External"/><Relationship Id="rId72" Type="http://schemas.openxmlformats.org/officeDocument/2006/relationships/hyperlink" Target="mailto:stephanie.calandrine@neon.com.br" TargetMode="External"/><Relationship Id="rId75" Type="http://schemas.openxmlformats.org/officeDocument/2006/relationships/hyperlink" Target="mailto:andreza.pimenta@neon.com.br" TargetMode="External"/><Relationship Id="rId74" Type="http://schemas.openxmlformats.org/officeDocument/2006/relationships/hyperlink" Target="mailto:andreza.pimenta@neon.com.br" TargetMode="External"/><Relationship Id="rId77" Type="http://schemas.openxmlformats.org/officeDocument/2006/relationships/hyperlink" Target="mailto:thiago.ppereira@neon.com.br" TargetMode="External"/><Relationship Id="rId76" Type="http://schemas.openxmlformats.org/officeDocument/2006/relationships/hyperlink" Target="mailto:sabrina.mendes@neon.com.br" TargetMode="External"/><Relationship Id="rId79" Type="http://schemas.openxmlformats.org/officeDocument/2006/relationships/hyperlink" Target="mailto:thiago.ppereira@neon.com.br" TargetMode="External"/><Relationship Id="rId78" Type="http://schemas.openxmlformats.org/officeDocument/2006/relationships/hyperlink" Target="mailto:thiago.ppereira@neon.com.br" TargetMode="External"/><Relationship Id="rId71" Type="http://schemas.openxmlformats.org/officeDocument/2006/relationships/hyperlink" Target="mailto:andreza.pimenta@neon.com.br" TargetMode="External"/><Relationship Id="rId70" Type="http://schemas.openxmlformats.org/officeDocument/2006/relationships/hyperlink" Target="mailto:stephanie.calandrine@neon.com.br" TargetMode="External"/><Relationship Id="rId62" Type="http://schemas.openxmlformats.org/officeDocument/2006/relationships/hyperlink" Target="mailto:icaro.ribeiro@neon.com.br" TargetMode="External"/><Relationship Id="rId61" Type="http://schemas.openxmlformats.org/officeDocument/2006/relationships/hyperlink" Target="mailto:carina.pinha@neon.com.br" TargetMode="External"/><Relationship Id="rId64" Type="http://schemas.openxmlformats.org/officeDocument/2006/relationships/hyperlink" Target="mailto:sabrina.mendes@neon.com.br" TargetMode="External"/><Relationship Id="rId63" Type="http://schemas.openxmlformats.org/officeDocument/2006/relationships/hyperlink" Target="mailto:carina.pinha@neon.com.br" TargetMode="External"/><Relationship Id="rId66" Type="http://schemas.openxmlformats.org/officeDocument/2006/relationships/hyperlink" Target="mailto:sabrina.mendes@neon.com.br" TargetMode="External"/><Relationship Id="rId65" Type="http://schemas.openxmlformats.org/officeDocument/2006/relationships/hyperlink" Target="mailto:sabrina.mendes@neon.com.br" TargetMode="External"/><Relationship Id="rId68" Type="http://schemas.openxmlformats.org/officeDocument/2006/relationships/hyperlink" Target="mailto:evandro.escobar@neon.com.br" TargetMode="External"/><Relationship Id="rId67" Type="http://schemas.openxmlformats.org/officeDocument/2006/relationships/hyperlink" Target="mailto:carina.pinha@neon.com.br" TargetMode="External"/><Relationship Id="rId60" Type="http://schemas.openxmlformats.org/officeDocument/2006/relationships/hyperlink" Target="mailto:sabrina.mendes@neon.com.br" TargetMode="External"/><Relationship Id="rId69" Type="http://schemas.openxmlformats.org/officeDocument/2006/relationships/hyperlink" Target="mailto:stephanie.calandrine@neon.com.br" TargetMode="External"/><Relationship Id="rId51" Type="http://schemas.openxmlformats.org/officeDocument/2006/relationships/hyperlink" Target="mailto:sabrina.mendes@neon.com.br" TargetMode="External"/><Relationship Id="rId50" Type="http://schemas.openxmlformats.org/officeDocument/2006/relationships/hyperlink" Target="mailto:carina.pinha@neon.com.br" TargetMode="External"/><Relationship Id="rId53" Type="http://schemas.openxmlformats.org/officeDocument/2006/relationships/hyperlink" Target="mailto:thiago.ppereira@neon.com.br" TargetMode="External"/><Relationship Id="rId52" Type="http://schemas.openxmlformats.org/officeDocument/2006/relationships/hyperlink" Target="mailto:andreza.pimenta@neon.com.br" TargetMode="External"/><Relationship Id="rId55" Type="http://schemas.openxmlformats.org/officeDocument/2006/relationships/hyperlink" Target="mailto:thiago.ppereira@neon.com.br" TargetMode="External"/><Relationship Id="rId54" Type="http://schemas.openxmlformats.org/officeDocument/2006/relationships/hyperlink" Target="mailto:thiago.ppereira@neon.com.br" TargetMode="External"/><Relationship Id="rId57" Type="http://schemas.openxmlformats.org/officeDocument/2006/relationships/hyperlink" Target="mailto:sabrina.mendes@neon.com.br" TargetMode="External"/><Relationship Id="rId56" Type="http://schemas.openxmlformats.org/officeDocument/2006/relationships/hyperlink" Target="mailto:thiago.ppereira@neon.com.br" TargetMode="External"/><Relationship Id="rId59" Type="http://schemas.openxmlformats.org/officeDocument/2006/relationships/hyperlink" Target="mailto:stephanie.calandrine@neon.com.br" TargetMode="External"/><Relationship Id="rId58" Type="http://schemas.openxmlformats.org/officeDocument/2006/relationships/hyperlink" Target="mailto:sabrina.mendes@neon.com.br" TargetMode="External"/></Relationships>
</file>

<file path=xl/worksheets/_rels/sheet14.xml.rels><?xml version="1.0" encoding="UTF-8" standalone="yes"?><Relationships xmlns="http://schemas.openxmlformats.org/package/2006/relationships"><Relationship Id="rId31" Type="http://schemas.openxmlformats.org/officeDocument/2006/relationships/hyperlink" Target="mailto:sabrina.mendes@neon.com.br" TargetMode="External"/><Relationship Id="rId30" Type="http://schemas.openxmlformats.org/officeDocument/2006/relationships/hyperlink" Target="mailto:gabriela.oliveira@neon.com.br" TargetMode="External"/><Relationship Id="rId33" Type="http://schemas.openxmlformats.org/officeDocument/2006/relationships/hyperlink" Target="mailto:sabrina.mendes@neon.com.br" TargetMode="External"/><Relationship Id="rId32" Type="http://schemas.openxmlformats.org/officeDocument/2006/relationships/hyperlink" Target="mailto:sabrina.mendes@neon.com.br" TargetMode="External"/><Relationship Id="rId35" Type="http://schemas.openxmlformats.org/officeDocument/2006/relationships/vmlDrawing" Target="../drawings/vmlDrawing4.vml"/><Relationship Id="rId34" Type="http://schemas.openxmlformats.org/officeDocument/2006/relationships/drawing" Target="../drawings/drawing14.xml"/><Relationship Id="rId20" Type="http://schemas.openxmlformats.org/officeDocument/2006/relationships/hyperlink" Target="mailto:sabrina.mendes@neon.com.br" TargetMode="External"/><Relationship Id="rId22" Type="http://schemas.openxmlformats.org/officeDocument/2006/relationships/hyperlink" Target="mailto:sabrina.mendes@neon.com.br" TargetMode="External"/><Relationship Id="rId21" Type="http://schemas.openxmlformats.org/officeDocument/2006/relationships/hyperlink" Target="mailto:sabrina.mendes@neon.com.br" TargetMode="External"/><Relationship Id="rId24" Type="http://schemas.openxmlformats.org/officeDocument/2006/relationships/hyperlink" Target="mailto:thiago.ppereira@neon.com.br" TargetMode="External"/><Relationship Id="rId23" Type="http://schemas.openxmlformats.org/officeDocument/2006/relationships/hyperlink" Target="mailto:thiago.ppereira@neon.com.br" TargetMode="External"/><Relationship Id="rId26" Type="http://schemas.openxmlformats.org/officeDocument/2006/relationships/hyperlink" Target="mailto:thiago.ppereira@neon.com.br" TargetMode="External"/><Relationship Id="rId25" Type="http://schemas.openxmlformats.org/officeDocument/2006/relationships/hyperlink" Target="mailto:thiago.ppereira@neon.com.br" TargetMode="External"/><Relationship Id="rId28" Type="http://schemas.openxmlformats.org/officeDocument/2006/relationships/hyperlink" Target="mailto:sabrina.mendes@neon.com.br" TargetMode="External"/><Relationship Id="rId27" Type="http://schemas.openxmlformats.org/officeDocument/2006/relationships/hyperlink" Target="mailto:sabrina.mendes@neon.com.br" TargetMode="External"/><Relationship Id="rId29" Type="http://schemas.openxmlformats.org/officeDocument/2006/relationships/hyperlink" Target="mailto:sabrina.mendes@neon.com.br" TargetMode="External"/><Relationship Id="rId11" Type="http://schemas.openxmlformats.org/officeDocument/2006/relationships/hyperlink" Target="mailto:sabrina.mendes@neon.com.br" TargetMode="External"/><Relationship Id="rId10" Type="http://schemas.openxmlformats.org/officeDocument/2006/relationships/hyperlink" Target="mailto:sabrina.mendes@neon.com.br" TargetMode="External"/><Relationship Id="rId13" Type="http://schemas.openxmlformats.org/officeDocument/2006/relationships/hyperlink" Target="mailto:sabrina.mendes@neon.com.br" TargetMode="External"/><Relationship Id="rId12" Type="http://schemas.openxmlformats.org/officeDocument/2006/relationships/hyperlink" Target="mailto:sabrina.mendes@neon.com.br" TargetMode="External"/><Relationship Id="rId15" Type="http://schemas.openxmlformats.org/officeDocument/2006/relationships/hyperlink" Target="mailto:sabrina.mendes@neon.com.br" TargetMode="External"/><Relationship Id="rId14" Type="http://schemas.openxmlformats.org/officeDocument/2006/relationships/hyperlink" Target="mailto:sabrina.mendes@neon.com.br" TargetMode="External"/><Relationship Id="rId17" Type="http://schemas.openxmlformats.org/officeDocument/2006/relationships/hyperlink" Target="mailto:sabrina.mendes@neon.com.br" TargetMode="External"/><Relationship Id="rId16" Type="http://schemas.openxmlformats.org/officeDocument/2006/relationships/hyperlink" Target="mailto:sabrina.mendes@neon.com.br" TargetMode="External"/><Relationship Id="rId19" Type="http://schemas.openxmlformats.org/officeDocument/2006/relationships/hyperlink" Target="mailto:sabrina.mendes@neon.com.br" TargetMode="External"/><Relationship Id="rId18" Type="http://schemas.openxmlformats.org/officeDocument/2006/relationships/hyperlink" Target="mailto:sabrina.mendes@neon.com.br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mailto:sabrina.mendes@neon.com.br" TargetMode="External"/><Relationship Id="rId9" Type="http://schemas.openxmlformats.org/officeDocument/2006/relationships/hyperlink" Target="mailto:sabrina.mendes@neon.com.br" TargetMode="External"/><Relationship Id="rId5" Type="http://schemas.openxmlformats.org/officeDocument/2006/relationships/hyperlink" Target="mailto:sabrina.mendes@neon.com.br" TargetMode="External"/><Relationship Id="rId6" Type="http://schemas.openxmlformats.org/officeDocument/2006/relationships/hyperlink" Target="mailto:sabrina.mendes@neon.com.br" TargetMode="External"/><Relationship Id="rId7" Type="http://schemas.openxmlformats.org/officeDocument/2006/relationships/hyperlink" Target="mailto:sabrina.mendes@neon.com.br" TargetMode="External"/><Relationship Id="rId8" Type="http://schemas.openxmlformats.org/officeDocument/2006/relationships/hyperlink" Target="mailto:sabrina.mendes@neon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13"/>
    <col customWidth="1" min="2" max="2" width="16.88"/>
    <col customWidth="1" min="3" max="3" width="18.5"/>
    <col customWidth="1" min="4" max="4" width="43.25"/>
    <col customWidth="1" min="5" max="5" width="13.38"/>
    <col customWidth="1" min="6" max="6" width="17.25"/>
    <col customWidth="1" min="7" max="7" width="14.25"/>
    <col customWidth="1" min="8" max="8" width="17.75"/>
    <col customWidth="1" min="9" max="9" width="14.63"/>
    <col customWidth="1" min="10" max="14" width="10.13"/>
    <col customWidth="1" min="15" max="15" width="10.13" outlineLevel="1"/>
    <col customWidth="1" min="16" max="16" width="22.13"/>
    <col customWidth="1" min="17" max="17" width="67.13"/>
    <col customWidth="1" min="18" max="25" width="8.88"/>
    <col customWidth="1" min="26" max="30" width="6.38"/>
    <col customWidth="1" min="31" max="33" width="7.6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5"/>
      <c r="N1" s="5"/>
      <c r="O1" s="5"/>
      <c r="P1" s="6"/>
      <c r="Q1" s="4"/>
      <c r="R1" s="4"/>
      <c r="S1" s="4"/>
      <c r="T1" s="7"/>
      <c r="U1" s="7"/>
      <c r="V1" s="7"/>
      <c r="W1" s="7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8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4"/>
      <c r="I2" s="4"/>
      <c r="J2" s="4"/>
      <c r="K2" s="4"/>
      <c r="L2" s="4"/>
      <c r="M2" s="5"/>
      <c r="N2" s="5"/>
      <c r="O2" s="5"/>
      <c r="P2" s="11"/>
      <c r="Q2" s="12"/>
      <c r="R2" s="12"/>
      <c r="S2" s="4"/>
      <c r="T2" s="7"/>
      <c r="U2" s="7"/>
      <c r="V2" s="7"/>
      <c r="W2" s="7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13" t="s">
        <v>8</v>
      </c>
      <c r="B3" s="14" t="s">
        <v>9</v>
      </c>
      <c r="C3" s="15">
        <f>5*7</f>
        <v>35</v>
      </c>
      <c r="D3" s="16" t="s">
        <v>10</v>
      </c>
      <c r="E3" s="17"/>
      <c r="F3" s="17"/>
      <c r="G3" s="17"/>
      <c r="H3" s="4"/>
      <c r="I3" s="4"/>
      <c r="J3" s="4"/>
      <c r="K3" s="4"/>
      <c r="L3" s="18"/>
      <c r="M3" s="19"/>
      <c r="N3" s="19"/>
      <c r="O3" s="19"/>
      <c r="P3" s="20"/>
      <c r="Q3" s="21"/>
      <c r="R3" s="22">
        <f>TODAY()</f>
        <v>46169</v>
      </c>
      <c r="S3" s="23"/>
      <c r="T3" s="7"/>
      <c r="U3" s="7"/>
      <c r="V3" s="7"/>
      <c r="W3" s="7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24"/>
      <c r="B4" s="25" t="s">
        <v>11</v>
      </c>
      <c r="C4" s="26" t="s">
        <v>12</v>
      </c>
      <c r="D4" s="16" t="s">
        <v>10</v>
      </c>
      <c r="E4" s="17"/>
      <c r="F4" s="17"/>
      <c r="G4" s="17"/>
      <c r="H4" s="4"/>
      <c r="I4" s="4"/>
      <c r="J4" s="4"/>
      <c r="K4" s="4"/>
      <c r="L4" s="4"/>
      <c r="M4" s="5"/>
      <c r="N4" s="5"/>
      <c r="O4" s="5"/>
      <c r="P4" s="6"/>
      <c r="Q4" s="4"/>
      <c r="R4" s="4"/>
      <c r="S4" s="4"/>
      <c r="T4" s="7"/>
      <c r="U4" s="7"/>
      <c r="V4" s="7"/>
      <c r="W4" s="7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24"/>
      <c r="B5" s="25" t="s">
        <v>13</v>
      </c>
      <c r="C5" s="26" t="s">
        <v>12</v>
      </c>
      <c r="D5" s="16" t="s">
        <v>10</v>
      </c>
      <c r="E5" s="17"/>
      <c r="F5" s="17"/>
      <c r="G5" s="27"/>
      <c r="H5" s="4"/>
      <c r="I5" s="28"/>
      <c r="J5" s="4"/>
      <c r="K5" s="4"/>
      <c r="L5" s="4"/>
      <c r="M5" s="5"/>
      <c r="N5" s="5"/>
      <c r="O5" s="5"/>
      <c r="P5" s="6"/>
      <c r="Q5" s="4"/>
      <c r="R5" s="4"/>
      <c r="S5" s="4"/>
      <c r="T5" s="7"/>
      <c r="U5" s="7"/>
      <c r="V5" s="7"/>
      <c r="W5" s="7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24"/>
      <c r="B6" s="14" t="s">
        <v>14</v>
      </c>
      <c r="C6" s="26">
        <v>71.0</v>
      </c>
      <c r="D6" s="29">
        <v>0.8</v>
      </c>
      <c r="E6" s="17"/>
      <c r="F6" s="17"/>
      <c r="G6" s="27"/>
      <c r="H6" s="4"/>
      <c r="I6" s="30"/>
      <c r="J6" s="30"/>
      <c r="K6" s="4"/>
      <c r="L6" s="4"/>
      <c r="M6" s="5"/>
      <c r="N6" s="5"/>
      <c r="O6" s="5"/>
      <c r="P6" s="6"/>
      <c r="Q6" s="4"/>
      <c r="R6" s="4"/>
      <c r="S6" s="4"/>
      <c r="T6" s="7"/>
      <c r="U6" s="7"/>
      <c r="V6" s="7"/>
      <c r="W6" s="7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24"/>
      <c r="B7" s="14" t="s">
        <v>15</v>
      </c>
      <c r="C7" s="26">
        <v>4.0</v>
      </c>
      <c r="D7" s="16" t="s">
        <v>10</v>
      </c>
      <c r="E7" s="17"/>
      <c r="F7" s="17"/>
      <c r="G7" s="17"/>
      <c r="H7" s="4"/>
      <c r="I7" s="4"/>
      <c r="J7" s="4"/>
      <c r="K7" s="4"/>
      <c r="L7" s="31"/>
      <c r="M7" s="5"/>
      <c r="N7" s="5"/>
      <c r="O7" s="5"/>
      <c r="P7" s="6"/>
      <c r="Q7" s="4"/>
      <c r="R7" s="4"/>
      <c r="S7" s="4"/>
      <c r="T7" s="7"/>
      <c r="U7" s="7"/>
      <c r="V7" s="7"/>
      <c r="W7" s="7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24"/>
      <c r="B8" s="14" t="s">
        <v>16</v>
      </c>
      <c r="C8" s="26">
        <v>8.6</v>
      </c>
      <c r="D8" s="16" t="s">
        <v>10</v>
      </c>
      <c r="E8" s="17"/>
      <c r="F8" s="17"/>
      <c r="G8" s="17"/>
      <c r="H8" s="4"/>
      <c r="I8" s="4"/>
      <c r="J8" s="4"/>
      <c r="K8" s="4"/>
      <c r="L8" s="31"/>
      <c r="M8" s="5"/>
      <c r="N8" s="5"/>
      <c r="O8" s="5"/>
      <c r="P8" s="6"/>
      <c r="Q8" s="4"/>
      <c r="R8" s="4"/>
      <c r="S8" s="4"/>
      <c r="T8" s="7"/>
      <c r="U8" s="7"/>
      <c r="V8" s="7"/>
      <c r="W8" s="7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32"/>
      <c r="B9" s="25" t="s">
        <v>17</v>
      </c>
      <c r="C9" s="26" t="s">
        <v>10</v>
      </c>
      <c r="D9" s="16" t="s">
        <v>10</v>
      </c>
      <c r="E9" s="17"/>
      <c r="F9" s="17"/>
      <c r="G9" s="17"/>
      <c r="H9" s="4"/>
      <c r="I9" s="4"/>
      <c r="J9" s="4"/>
      <c r="K9" s="4"/>
      <c r="L9" s="31"/>
      <c r="M9" s="5"/>
      <c r="N9" s="5"/>
      <c r="O9" s="5"/>
      <c r="P9" s="6"/>
      <c r="Q9" s="4"/>
      <c r="R9" s="4"/>
      <c r="S9" s="4"/>
      <c r="T9" s="7"/>
      <c r="U9" s="7"/>
      <c r="V9" s="7"/>
      <c r="W9" s="7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13" t="s">
        <v>18</v>
      </c>
      <c r="B10" s="25" t="s">
        <v>19</v>
      </c>
      <c r="C10" s="15">
        <v>62.0</v>
      </c>
      <c r="D10" s="33">
        <v>71.0</v>
      </c>
      <c r="E10" s="17"/>
      <c r="F10" s="17"/>
      <c r="G10" s="17"/>
      <c r="H10" s="4"/>
      <c r="I10" s="4"/>
      <c r="J10" s="4"/>
      <c r="K10" s="4"/>
      <c r="L10" s="4"/>
      <c r="M10" s="5"/>
      <c r="N10" s="5"/>
      <c r="O10" s="5"/>
      <c r="P10" s="6"/>
      <c r="Q10" s="4"/>
      <c r="R10" s="4"/>
      <c r="S10" s="4"/>
      <c r="T10" s="7"/>
      <c r="U10" s="7"/>
      <c r="V10" s="7"/>
      <c r="W10" s="7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24"/>
      <c r="B11" s="34" t="s">
        <v>20</v>
      </c>
      <c r="C11" s="26" t="s">
        <v>21</v>
      </c>
      <c r="D11" s="16" t="s">
        <v>10</v>
      </c>
      <c r="E11" s="17"/>
      <c r="F11" s="17"/>
      <c r="G11" s="17"/>
      <c r="H11" s="4"/>
      <c r="I11" s="4"/>
      <c r="J11" s="4"/>
      <c r="K11" s="4"/>
      <c r="L11" s="4"/>
      <c r="M11" s="5"/>
      <c r="N11" s="5"/>
      <c r="O11" s="5"/>
      <c r="P11" s="6"/>
      <c r="Q11" s="4"/>
      <c r="R11" s="4"/>
      <c r="S11" s="4"/>
      <c r="T11" s="7"/>
      <c r="U11" s="7"/>
      <c r="V11" s="7"/>
      <c r="W11" s="7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24"/>
      <c r="B12" s="25" t="s">
        <v>22</v>
      </c>
      <c r="C12" s="15" t="s">
        <v>23</v>
      </c>
      <c r="D12" s="16" t="s">
        <v>10</v>
      </c>
      <c r="E12" s="17"/>
      <c r="F12" s="17"/>
      <c r="G12" s="17"/>
      <c r="H12" s="4"/>
      <c r="I12" s="4"/>
      <c r="J12" s="4"/>
      <c r="K12" s="4"/>
      <c r="L12" s="4"/>
      <c r="M12" s="5"/>
      <c r="N12" s="5"/>
      <c r="O12" s="5"/>
      <c r="P12" s="6"/>
      <c r="Q12" s="4"/>
      <c r="R12" s="4"/>
      <c r="S12" s="4"/>
      <c r="T12" s="7"/>
      <c r="U12" s="7"/>
      <c r="V12" s="7"/>
      <c r="W12" s="7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35" t="s">
        <v>24</v>
      </c>
      <c r="B13" s="36" t="s">
        <v>25</v>
      </c>
      <c r="C13" s="37" t="s">
        <v>26</v>
      </c>
      <c r="D13" s="38" t="s">
        <v>27</v>
      </c>
      <c r="E13" s="17"/>
      <c r="F13" s="17"/>
      <c r="G13" s="17"/>
      <c r="H13" s="4"/>
      <c r="I13" s="4"/>
      <c r="J13" s="4"/>
      <c r="K13" s="4"/>
      <c r="L13" s="4"/>
      <c r="M13" s="5"/>
      <c r="N13" s="5"/>
      <c r="O13" s="5"/>
      <c r="P13" s="6"/>
      <c r="Q13" s="4"/>
      <c r="R13" s="4"/>
      <c r="S13" s="4"/>
      <c r="T13" s="7"/>
      <c r="U13" s="7"/>
      <c r="V13" s="7"/>
      <c r="W13" s="7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39"/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6"/>
      <c r="Q14" s="4"/>
      <c r="R14" s="4"/>
      <c r="S14" s="4"/>
      <c r="T14" s="7"/>
      <c r="U14" s="7"/>
      <c r="V14" s="7"/>
      <c r="W14" s="40"/>
      <c r="X14" s="41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4"/>
      <c r="B15" s="4"/>
      <c r="C15" s="4"/>
      <c r="D15" s="5"/>
      <c r="E15" s="42" t="s">
        <v>28</v>
      </c>
      <c r="F15" s="43"/>
      <c r="G15" s="44" t="s">
        <v>29</v>
      </c>
      <c r="H15" s="4"/>
      <c r="I15" s="4"/>
      <c r="J15" s="4"/>
      <c r="K15" s="4"/>
      <c r="L15" s="4"/>
      <c r="M15" s="5"/>
      <c r="N15" s="5"/>
      <c r="O15" s="5"/>
      <c r="P15" s="6"/>
      <c r="Q15" s="4"/>
      <c r="R15" s="4"/>
      <c r="S15" s="4"/>
      <c r="T15" s="7"/>
      <c r="U15" s="7"/>
      <c r="V15" s="7"/>
      <c r="W15" s="42"/>
      <c r="X15" s="40"/>
      <c r="Y15" s="45"/>
      <c r="Z15" s="42" t="s">
        <v>28</v>
      </c>
      <c r="AA15" s="46"/>
      <c r="AB15" s="41" t="s">
        <v>30</v>
      </c>
      <c r="AC15" s="4"/>
      <c r="AD15" s="4"/>
      <c r="AE15" s="4"/>
      <c r="AF15" s="4"/>
      <c r="AG15" s="4"/>
    </row>
    <row r="16">
      <c r="A16" s="4"/>
      <c r="B16" s="4"/>
      <c r="C16" s="4"/>
      <c r="D16" s="5"/>
      <c r="E16" s="47"/>
      <c r="F16" s="48"/>
      <c r="G16" s="44" t="s">
        <v>31</v>
      </c>
      <c r="H16" s="4"/>
      <c r="I16" s="4"/>
      <c r="J16" s="4"/>
      <c r="K16" s="4"/>
      <c r="L16" s="4"/>
      <c r="M16" s="5"/>
      <c r="N16" s="5"/>
      <c r="O16" s="5"/>
      <c r="P16" s="6"/>
      <c r="Q16" s="4"/>
      <c r="R16" s="4"/>
      <c r="S16" s="4"/>
      <c r="T16" s="7"/>
      <c r="U16" s="7"/>
      <c r="V16" s="7"/>
      <c r="W16" s="49"/>
      <c r="X16" s="50"/>
      <c r="Y16" s="45"/>
      <c r="Z16" s="49"/>
      <c r="AA16" s="51"/>
      <c r="AB16" s="41" t="s">
        <v>32</v>
      </c>
      <c r="AC16" s="4"/>
      <c r="AD16" s="4"/>
      <c r="AE16" s="4"/>
      <c r="AF16" s="4"/>
      <c r="AG16" s="4"/>
    </row>
    <row r="17">
      <c r="A17" s="4"/>
      <c r="B17" s="4"/>
      <c r="C17" s="4"/>
      <c r="D17" s="5"/>
      <c r="E17" s="49"/>
      <c r="F17" s="52"/>
      <c r="G17" s="44" t="s">
        <v>33</v>
      </c>
      <c r="H17" s="31"/>
      <c r="I17" s="4"/>
      <c r="J17" s="4"/>
      <c r="K17" s="4"/>
      <c r="L17" s="4"/>
      <c r="M17" s="5"/>
      <c r="N17" s="5"/>
      <c r="O17" s="5"/>
      <c r="P17" s="6"/>
      <c r="Q17" s="4"/>
      <c r="R17" s="4"/>
      <c r="S17" s="4"/>
      <c r="T17" s="7"/>
      <c r="U17" s="7"/>
      <c r="V17" s="7"/>
      <c r="W17" s="7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53"/>
      <c r="B18" s="54"/>
      <c r="C18" s="54"/>
      <c r="D18" s="54"/>
      <c r="E18" s="55"/>
      <c r="F18" s="54"/>
      <c r="G18" s="54"/>
      <c r="H18" s="4"/>
      <c r="I18" s="4"/>
      <c r="J18" s="4"/>
      <c r="K18" s="4"/>
      <c r="L18" s="4"/>
      <c r="M18" s="5"/>
      <c r="N18" s="5"/>
      <c r="O18" s="5"/>
      <c r="P18" s="6"/>
      <c r="Q18" s="4"/>
      <c r="R18" s="4"/>
      <c r="S18" s="4"/>
      <c r="T18" s="7"/>
      <c r="U18" s="7"/>
      <c r="V18" s="7"/>
      <c r="W18" s="7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56" t="s">
        <v>34</v>
      </c>
      <c r="B19" s="57"/>
      <c r="C19" s="57"/>
      <c r="D19" s="57"/>
      <c r="E19" s="57"/>
      <c r="F19" s="57"/>
      <c r="G19" s="58"/>
      <c r="H19" s="59" t="s">
        <v>1</v>
      </c>
      <c r="I19" s="60"/>
      <c r="J19" s="60"/>
      <c r="K19" s="60"/>
      <c r="L19" s="60"/>
      <c r="M19" s="60"/>
      <c r="N19" s="60"/>
      <c r="O19" s="23"/>
      <c r="P19" s="61" t="s">
        <v>35</v>
      </c>
      <c r="Q19" s="60"/>
      <c r="R19" s="60"/>
      <c r="S19" s="60"/>
      <c r="T19" s="60"/>
      <c r="U19" s="60"/>
      <c r="V19" s="23"/>
      <c r="W19" s="62" t="s">
        <v>36</v>
      </c>
      <c r="X19" s="60"/>
      <c r="Y19" s="23"/>
      <c r="Z19" s="62" t="s">
        <v>37</v>
      </c>
      <c r="AA19" s="60"/>
      <c r="AB19" s="60"/>
      <c r="AC19" s="60"/>
      <c r="AD19" s="23"/>
      <c r="AE19" s="62" t="s">
        <v>38</v>
      </c>
      <c r="AF19" s="60"/>
      <c r="AG19" s="23"/>
    </row>
    <row r="20" ht="54.75" customHeight="1">
      <c r="A20" s="63" t="s">
        <v>39</v>
      </c>
      <c r="B20" s="64" t="s">
        <v>40</v>
      </c>
      <c r="C20" s="63" t="s">
        <v>41</v>
      </c>
      <c r="D20" s="63" t="s">
        <v>42</v>
      </c>
      <c r="E20" s="65" t="s">
        <v>43</v>
      </c>
      <c r="F20" s="65" t="s">
        <v>44</v>
      </c>
      <c r="G20" s="65" t="s">
        <v>45</v>
      </c>
      <c r="H20" s="65" t="s">
        <v>1</v>
      </c>
      <c r="I20" s="66" t="s">
        <v>46</v>
      </c>
      <c r="J20" s="67" t="s">
        <v>47</v>
      </c>
      <c r="K20" s="23"/>
      <c r="L20" s="67" t="s">
        <v>48</v>
      </c>
      <c r="M20" s="23"/>
      <c r="N20" s="67" t="s">
        <v>49</v>
      </c>
      <c r="O20" s="23"/>
      <c r="P20" s="65" t="s">
        <v>50</v>
      </c>
      <c r="Q20" s="68" t="s">
        <v>51</v>
      </c>
      <c r="R20" s="69" t="s">
        <v>52</v>
      </c>
      <c r="S20" s="70" t="s">
        <v>4</v>
      </c>
      <c r="T20" s="70" t="s">
        <v>6</v>
      </c>
      <c r="U20" s="70" t="s">
        <v>7</v>
      </c>
      <c r="V20" s="70" t="s">
        <v>53</v>
      </c>
      <c r="W20" s="70" t="s">
        <v>54</v>
      </c>
      <c r="X20" s="70" t="s">
        <v>55</v>
      </c>
      <c r="Y20" s="66" t="s">
        <v>24</v>
      </c>
      <c r="Z20" s="70" t="s">
        <v>56</v>
      </c>
      <c r="AA20" s="70" t="s">
        <v>57</v>
      </c>
      <c r="AB20" s="70" t="s">
        <v>58</v>
      </c>
      <c r="AC20" s="70" t="s">
        <v>59</v>
      </c>
      <c r="AD20" s="70" t="s">
        <v>60</v>
      </c>
      <c r="AE20" s="70" t="s">
        <v>61</v>
      </c>
      <c r="AF20" s="70" t="s">
        <v>62</v>
      </c>
      <c r="AG20" s="70" t="s">
        <v>62</v>
      </c>
    </row>
    <row r="21" ht="14.25" customHeight="1">
      <c r="A21" s="71" t="s">
        <v>63</v>
      </c>
      <c r="B21" s="71" t="s">
        <v>64</v>
      </c>
      <c r="C21" s="72" t="s">
        <v>65</v>
      </c>
      <c r="D21" s="73" t="s">
        <v>66</v>
      </c>
      <c r="E21" s="74" t="s">
        <v>67</v>
      </c>
      <c r="F21" s="75" t="s">
        <v>68</v>
      </c>
      <c r="G21" s="75" t="s">
        <v>69</v>
      </c>
      <c r="H21" s="76" t="s">
        <v>70</v>
      </c>
      <c r="I21" s="77">
        <v>46185.0</v>
      </c>
      <c r="J21" s="77">
        <f>I21+3</f>
        <v>46188</v>
      </c>
      <c r="K21" s="77">
        <f>J21+11</f>
        <v>46199</v>
      </c>
      <c r="L21" s="77">
        <f>K21+3</f>
        <v>46202</v>
      </c>
      <c r="M21" s="77">
        <f>L21+11</f>
        <v>46213</v>
      </c>
      <c r="N21" s="77">
        <f>M21+3</f>
        <v>46216</v>
      </c>
      <c r="O21" s="77">
        <f>N21+11</f>
        <v>46227</v>
      </c>
      <c r="P21" s="78" t="s">
        <v>71</v>
      </c>
      <c r="Q21" s="79" t="s">
        <v>72</v>
      </c>
      <c r="R21" s="80" t="s">
        <v>73</v>
      </c>
      <c r="S21" s="80" t="s">
        <v>73</v>
      </c>
      <c r="T21" s="81" t="s">
        <v>12</v>
      </c>
      <c r="U21" s="81" t="s">
        <v>12</v>
      </c>
      <c r="V21" s="81" t="s">
        <v>12</v>
      </c>
      <c r="W21" s="82" t="s">
        <v>74</v>
      </c>
      <c r="X21" s="82" t="s">
        <v>75</v>
      </c>
      <c r="Y21" s="82" t="s">
        <v>76</v>
      </c>
      <c r="Z21" s="83"/>
      <c r="AA21" s="84"/>
      <c r="AB21" s="84"/>
      <c r="AC21" s="85"/>
      <c r="AD21" s="85"/>
      <c r="AE21" s="81" t="s">
        <v>21</v>
      </c>
      <c r="AF21" s="86" t="s">
        <v>77</v>
      </c>
      <c r="AG21" s="86" t="s">
        <v>78</v>
      </c>
    </row>
    <row r="22" ht="14.25" customHeight="1">
      <c r="A22" s="87"/>
      <c r="B22" s="87"/>
      <c r="C22" s="87"/>
      <c r="D22" s="8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78" t="s">
        <v>79</v>
      </c>
      <c r="Q22" s="79" t="s">
        <v>80</v>
      </c>
      <c r="R22" s="80" t="s">
        <v>81</v>
      </c>
      <c r="S22" s="88">
        <v>4.3</v>
      </c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</row>
    <row r="23" ht="14.25" customHeight="1">
      <c r="A23" s="87"/>
      <c r="B23" s="87"/>
      <c r="C23" s="87"/>
      <c r="D23" s="87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89" t="s">
        <v>82</v>
      </c>
      <c r="Q23" s="79" t="s">
        <v>83</v>
      </c>
      <c r="R23" s="80" t="s">
        <v>84</v>
      </c>
      <c r="S23" s="88">
        <v>13.0</v>
      </c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</row>
    <row r="24" ht="14.25" customHeight="1">
      <c r="A24" s="90"/>
      <c r="B24" s="90"/>
      <c r="C24" s="90"/>
      <c r="D24" s="90"/>
      <c r="E24" s="91" t="s">
        <v>85</v>
      </c>
      <c r="F24" s="92" t="s">
        <v>86</v>
      </c>
      <c r="G24" s="92" t="s">
        <v>87</v>
      </c>
      <c r="H24" s="93" t="s">
        <v>70</v>
      </c>
      <c r="I24" s="94">
        <v>46185.0</v>
      </c>
      <c r="J24" s="94">
        <f t="shared" ref="J24:J25" si="1">I24+3</f>
        <v>46188</v>
      </c>
      <c r="K24" s="94">
        <f>J24+11</f>
        <v>46199</v>
      </c>
      <c r="L24" s="94">
        <f>K24+3</f>
        <v>46202</v>
      </c>
      <c r="M24" s="94">
        <f>L24+11</f>
        <v>46213</v>
      </c>
      <c r="N24" s="94">
        <f>M24+3</f>
        <v>46216</v>
      </c>
      <c r="O24" s="94">
        <f>N24+11</f>
        <v>46227</v>
      </c>
      <c r="P24" s="95" t="s">
        <v>88</v>
      </c>
      <c r="Q24" s="79" t="s">
        <v>89</v>
      </c>
      <c r="R24" s="96" t="s">
        <v>90</v>
      </c>
      <c r="S24" s="97">
        <v>0.0</v>
      </c>
      <c r="T24" s="97" t="s">
        <v>12</v>
      </c>
      <c r="U24" s="97" t="s">
        <v>12</v>
      </c>
      <c r="V24" s="97" t="s">
        <v>12</v>
      </c>
      <c r="W24" s="98" t="s">
        <v>74</v>
      </c>
      <c r="X24" s="98" t="s">
        <v>75</v>
      </c>
      <c r="Y24" s="82" t="s">
        <v>76</v>
      </c>
      <c r="Z24" s="97"/>
      <c r="AA24" s="99"/>
      <c r="AB24" s="100"/>
      <c r="AC24" s="101"/>
      <c r="AD24" s="101"/>
      <c r="AE24" s="97" t="s">
        <v>21</v>
      </c>
      <c r="AF24" s="97" t="s">
        <v>77</v>
      </c>
      <c r="AG24" s="97" t="s">
        <v>78</v>
      </c>
    </row>
    <row r="25" ht="14.25" customHeight="1">
      <c r="A25" s="71" t="s">
        <v>63</v>
      </c>
      <c r="B25" s="71" t="s">
        <v>64</v>
      </c>
      <c r="C25" s="102" t="s">
        <v>91</v>
      </c>
      <c r="D25" s="73" t="s">
        <v>92</v>
      </c>
      <c r="E25" s="74" t="s">
        <v>93</v>
      </c>
      <c r="F25" s="75" t="s">
        <v>94</v>
      </c>
      <c r="G25" s="103" t="s">
        <v>95</v>
      </c>
      <c r="H25" s="76" t="s">
        <v>96</v>
      </c>
      <c r="I25" s="77">
        <v>46122.0</v>
      </c>
      <c r="J25" s="77">
        <f t="shared" si="1"/>
        <v>46125</v>
      </c>
      <c r="K25" s="77">
        <f>J25+90</f>
        <v>46215</v>
      </c>
      <c r="L25" s="77"/>
      <c r="M25" s="77"/>
      <c r="N25" s="77"/>
      <c r="O25" s="77"/>
      <c r="P25" s="95" t="s">
        <v>97</v>
      </c>
      <c r="Q25" s="104" t="s">
        <v>98</v>
      </c>
      <c r="R25" s="80" t="s">
        <v>99</v>
      </c>
      <c r="S25" s="88">
        <v>70.0</v>
      </c>
      <c r="T25" s="105" t="s">
        <v>12</v>
      </c>
      <c r="U25" s="105" t="s">
        <v>12</v>
      </c>
      <c r="V25" s="105" t="s">
        <v>12</v>
      </c>
      <c r="W25" s="82" t="s">
        <v>100</v>
      </c>
      <c r="X25" s="82" t="s">
        <v>101</v>
      </c>
      <c r="Y25" s="47"/>
      <c r="Z25" s="83"/>
      <c r="AA25" s="85"/>
      <c r="AB25" s="83"/>
      <c r="AC25" s="85"/>
      <c r="AD25" s="85"/>
      <c r="AE25" s="81" t="s">
        <v>21</v>
      </c>
      <c r="AF25" s="81" t="s">
        <v>21</v>
      </c>
      <c r="AG25" s="81" t="s">
        <v>21</v>
      </c>
    </row>
    <row r="26" ht="14.25" customHeight="1">
      <c r="A26" s="87"/>
      <c r="B26" s="87"/>
      <c r="C26" s="87"/>
      <c r="D26" s="8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95" t="s">
        <v>102</v>
      </c>
      <c r="Q26" s="104" t="s">
        <v>103</v>
      </c>
      <c r="R26" s="80" t="s">
        <v>104</v>
      </c>
      <c r="S26" s="88" t="s">
        <v>10</v>
      </c>
      <c r="T26" s="105" t="s">
        <v>12</v>
      </c>
      <c r="U26" s="105" t="s">
        <v>12</v>
      </c>
      <c r="V26" s="105" t="s">
        <v>12</v>
      </c>
      <c r="W26" s="47"/>
      <c r="X26" s="47"/>
      <c r="Y26" s="49"/>
      <c r="Z26" s="47"/>
      <c r="AA26" s="47"/>
      <c r="AB26" s="47"/>
      <c r="AC26" s="47"/>
      <c r="AD26" s="47"/>
      <c r="AE26" s="47"/>
      <c r="AF26" s="47"/>
      <c r="AG26" s="47"/>
    </row>
    <row r="27" ht="14.25" customHeight="1">
      <c r="A27" s="90"/>
      <c r="B27" s="90"/>
      <c r="C27" s="90"/>
      <c r="D27" s="90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06" t="s">
        <v>105</v>
      </c>
      <c r="Q27" s="107" t="s">
        <v>106</v>
      </c>
      <c r="R27" s="80" t="s">
        <v>107</v>
      </c>
      <c r="S27" s="88">
        <v>8.5</v>
      </c>
      <c r="T27" s="105" t="s">
        <v>12</v>
      </c>
      <c r="U27" s="105" t="s">
        <v>12</v>
      </c>
      <c r="V27" s="105" t="s">
        <v>12</v>
      </c>
      <c r="W27" s="49"/>
      <c r="X27" s="49"/>
      <c r="Y27" s="108"/>
      <c r="Z27" s="49"/>
      <c r="AA27" s="49"/>
      <c r="AB27" s="49"/>
      <c r="AC27" s="49"/>
      <c r="AD27" s="49"/>
      <c r="AE27" s="49"/>
      <c r="AF27" s="49"/>
      <c r="AG27" s="49"/>
    </row>
    <row r="28" ht="14.25" customHeight="1">
      <c r="A28" s="71" t="s">
        <v>63</v>
      </c>
      <c r="B28" s="71" t="s">
        <v>108</v>
      </c>
      <c r="C28" s="71" t="s">
        <v>109</v>
      </c>
      <c r="D28" s="73" t="s">
        <v>110</v>
      </c>
      <c r="E28" s="74" t="s">
        <v>85</v>
      </c>
      <c r="F28" s="75" t="s">
        <v>109</v>
      </c>
      <c r="G28" s="103" t="s">
        <v>111</v>
      </c>
      <c r="H28" s="76" t="s">
        <v>70</v>
      </c>
      <c r="I28" s="77">
        <v>46218.0</v>
      </c>
      <c r="J28" s="77">
        <f>I28+3</f>
        <v>46221</v>
      </c>
      <c r="K28" s="77">
        <f>J28+11</f>
        <v>46232</v>
      </c>
      <c r="L28" s="77">
        <f>K28+3</f>
        <v>46235</v>
      </c>
      <c r="M28" s="77">
        <f>L28+11</f>
        <v>46246</v>
      </c>
      <c r="N28" s="77"/>
      <c r="O28" s="77"/>
      <c r="P28" s="109" t="s">
        <v>112</v>
      </c>
      <c r="Q28" s="110" t="s">
        <v>113</v>
      </c>
      <c r="R28" s="111" t="s">
        <v>21</v>
      </c>
      <c r="S28" s="112">
        <v>80.0</v>
      </c>
      <c r="T28" s="112" t="s">
        <v>12</v>
      </c>
      <c r="U28" s="112" t="s">
        <v>12</v>
      </c>
      <c r="V28" s="112" t="s">
        <v>12</v>
      </c>
      <c r="W28" s="82" t="s">
        <v>74</v>
      </c>
      <c r="X28" s="82" t="s">
        <v>75</v>
      </c>
      <c r="Y28" s="82" t="s">
        <v>114</v>
      </c>
      <c r="Z28" s="83"/>
      <c r="AA28" s="113"/>
      <c r="AB28" s="84"/>
      <c r="AC28" s="85"/>
      <c r="AD28" s="85"/>
      <c r="AE28" s="81" t="s">
        <v>21</v>
      </c>
      <c r="AF28" s="81" t="s">
        <v>77</v>
      </c>
      <c r="AG28" s="81" t="s">
        <v>78</v>
      </c>
    </row>
    <row r="29" ht="14.25" customHeight="1">
      <c r="A29" s="90"/>
      <c r="B29" s="90"/>
      <c r="C29" s="90"/>
      <c r="D29" s="90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109" t="s">
        <v>79</v>
      </c>
      <c r="Q29" s="110" t="s">
        <v>115</v>
      </c>
      <c r="R29" s="111" t="s">
        <v>81</v>
      </c>
      <c r="S29" s="112">
        <v>4.3</v>
      </c>
      <c r="T29" s="112" t="s">
        <v>12</v>
      </c>
      <c r="U29" s="112" t="s">
        <v>12</v>
      </c>
      <c r="V29" s="112" t="s">
        <v>12</v>
      </c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</row>
    <row r="30" ht="14.25" customHeight="1">
      <c r="A30" s="102" t="s">
        <v>63</v>
      </c>
      <c r="B30" s="102" t="s">
        <v>116</v>
      </c>
      <c r="C30" s="114" t="s">
        <v>117</v>
      </c>
      <c r="D30" s="73" t="s">
        <v>118</v>
      </c>
      <c r="E30" s="75" t="s">
        <v>67</v>
      </c>
      <c r="F30" s="75" t="s">
        <v>119</v>
      </c>
      <c r="G30" s="103" t="s">
        <v>120</v>
      </c>
      <c r="H30" s="115" t="s">
        <v>70</v>
      </c>
      <c r="I30" s="77">
        <v>46185.0</v>
      </c>
      <c r="J30" s="77">
        <f>I30+3</f>
        <v>46188</v>
      </c>
      <c r="K30" s="77">
        <f>J30+18</f>
        <v>46206</v>
      </c>
      <c r="L30" s="77">
        <f>K30+3</f>
        <v>46209</v>
      </c>
      <c r="M30" s="77">
        <f>L30+30</f>
        <v>46239</v>
      </c>
      <c r="N30" s="77">
        <f>M30+3</f>
        <v>46242</v>
      </c>
      <c r="O30" s="77">
        <f>N30+11</f>
        <v>46253</v>
      </c>
      <c r="P30" s="89" t="s">
        <v>121</v>
      </c>
      <c r="Q30" s="106" t="s">
        <v>122</v>
      </c>
      <c r="R30" s="116" t="s">
        <v>21</v>
      </c>
      <c r="S30" s="112" t="s">
        <v>73</v>
      </c>
      <c r="T30" s="112" t="s">
        <v>12</v>
      </c>
      <c r="U30" s="112" t="s">
        <v>12</v>
      </c>
      <c r="V30" s="112" t="s">
        <v>12</v>
      </c>
      <c r="W30" s="82" t="s">
        <v>123</v>
      </c>
      <c r="X30" s="82" t="s">
        <v>101</v>
      </c>
      <c r="Y30" s="82" t="s">
        <v>124</v>
      </c>
      <c r="Z30" s="83"/>
      <c r="AA30" s="85"/>
      <c r="AB30" s="84"/>
      <c r="AC30" s="85"/>
      <c r="AD30" s="85"/>
      <c r="AE30" s="81" t="s">
        <v>21</v>
      </c>
      <c r="AF30" s="81" t="s">
        <v>21</v>
      </c>
      <c r="AG30" s="81" t="s">
        <v>21</v>
      </c>
    </row>
    <row r="31" ht="14.25" customHeight="1">
      <c r="A31" s="90"/>
      <c r="B31" s="90"/>
      <c r="C31" s="90"/>
      <c r="D31" s="90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89" t="s">
        <v>125</v>
      </c>
      <c r="Q31" s="106" t="s">
        <v>126</v>
      </c>
      <c r="R31" s="116" t="s">
        <v>21</v>
      </c>
      <c r="S31" s="112" t="s">
        <v>10</v>
      </c>
      <c r="T31" s="112"/>
      <c r="U31" s="112"/>
      <c r="V31" s="112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</row>
    <row r="32" ht="14.25" customHeight="1">
      <c r="A32" s="102" t="s">
        <v>63</v>
      </c>
      <c r="B32" s="102" t="s">
        <v>116</v>
      </c>
      <c r="C32" s="102" t="s">
        <v>127</v>
      </c>
      <c r="D32" s="102" t="s">
        <v>128</v>
      </c>
      <c r="E32" s="75" t="s">
        <v>129</v>
      </c>
      <c r="F32" s="75" t="s">
        <v>130</v>
      </c>
      <c r="G32" s="103" t="s">
        <v>131</v>
      </c>
      <c r="H32" s="76" t="s">
        <v>96</v>
      </c>
      <c r="I32" s="77">
        <v>46195.0</v>
      </c>
      <c r="J32" s="77">
        <f>I32+3</f>
        <v>46198</v>
      </c>
      <c r="K32" s="77">
        <f>J32+11</f>
        <v>46209</v>
      </c>
      <c r="L32" s="77">
        <f>K32+3</f>
        <v>46212</v>
      </c>
      <c r="M32" s="77">
        <f>L32+11</f>
        <v>46223</v>
      </c>
      <c r="N32" s="77">
        <f>M32+3</f>
        <v>46226</v>
      </c>
      <c r="O32" s="77">
        <f>N32+11</f>
        <v>46237</v>
      </c>
      <c r="P32" s="95" t="s">
        <v>132</v>
      </c>
      <c r="Q32" s="95" t="s">
        <v>133</v>
      </c>
      <c r="R32" s="80" t="s">
        <v>134</v>
      </c>
      <c r="S32" s="112" t="s">
        <v>10</v>
      </c>
      <c r="T32" s="112" t="s">
        <v>12</v>
      </c>
      <c r="U32" s="112" t="s">
        <v>12</v>
      </c>
      <c r="V32" s="112" t="s">
        <v>12</v>
      </c>
      <c r="W32" s="82" t="s">
        <v>123</v>
      </c>
      <c r="X32" s="82" t="s">
        <v>101</v>
      </c>
      <c r="Y32" s="82" t="s">
        <v>124</v>
      </c>
      <c r="Z32" s="83"/>
      <c r="AA32" s="85"/>
      <c r="AB32" s="83"/>
      <c r="AC32" s="85"/>
      <c r="AD32" s="85"/>
      <c r="AE32" s="81" t="s">
        <v>21</v>
      </c>
      <c r="AF32" s="81" t="s">
        <v>135</v>
      </c>
      <c r="AG32" s="81" t="s">
        <v>136</v>
      </c>
    </row>
    <row r="33" ht="14.25" customHeight="1">
      <c r="A33" s="87"/>
      <c r="B33" s="87"/>
      <c r="C33" s="87"/>
      <c r="D33" s="8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95" t="s">
        <v>137</v>
      </c>
      <c r="Q33" s="107" t="s">
        <v>138</v>
      </c>
      <c r="R33" s="80" t="s">
        <v>139</v>
      </c>
      <c r="S33" s="112" t="s">
        <v>140</v>
      </c>
      <c r="T33" s="112" t="s">
        <v>12</v>
      </c>
      <c r="U33" s="112" t="s">
        <v>12</v>
      </c>
      <c r="V33" s="112" t="s">
        <v>12</v>
      </c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</row>
    <row r="34" ht="14.25" customHeight="1">
      <c r="A34" s="87"/>
      <c r="B34" s="87"/>
      <c r="C34" s="87"/>
      <c r="D34" s="8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95" t="s">
        <v>141</v>
      </c>
      <c r="Q34" s="95" t="s">
        <v>142</v>
      </c>
      <c r="R34" s="80" t="s">
        <v>143</v>
      </c>
      <c r="S34" s="112" t="s">
        <v>10</v>
      </c>
      <c r="T34" s="112" t="s">
        <v>12</v>
      </c>
      <c r="U34" s="112" t="s">
        <v>12</v>
      </c>
      <c r="V34" s="112" t="s">
        <v>12</v>
      </c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</row>
    <row r="35" ht="14.25" customHeight="1">
      <c r="A35" s="90"/>
      <c r="B35" s="90"/>
      <c r="C35" s="87"/>
      <c r="D35" s="87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95" t="s">
        <v>144</v>
      </c>
      <c r="Q35" s="104" t="s">
        <v>145</v>
      </c>
      <c r="R35" s="80" t="s">
        <v>146</v>
      </c>
      <c r="S35" s="112" t="s">
        <v>10</v>
      </c>
      <c r="T35" s="112" t="s">
        <v>12</v>
      </c>
      <c r="U35" s="112" t="s">
        <v>12</v>
      </c>
      <c r="V35" s="112" t="s">
        <v>12</v>
      </c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</row>
    <row r="36" ht="14.25" customHeight="1">
      <c r="A36" s="102" t="s">
        <v>63</v>
      </c>
      <c r="B36" s="102" t="s">
        <v>116</v>
      </c>
      <c r="C36" s="87"/>
      <c r="D36" s="87"/>
      <c r="E36" s="75" t="s">
        <v>129</v>
      </c>
      <c r="F36" s="75" t="s">
        <v>147</v>
      </c>
      <c r="G36" s="103" t="s">
        <v>131</v>
      </c>
      <c r="H36" s="76" t="s">
        <v>96</v>
      </c>
      <c r="I36" s="77">
        <v>46171.0</v>
      </c>
      <c r="J36" s="77">
        <f>I36+3</f>
        <v>46174</v>
      </c>
      <c r="K36" s="77">
        <f>J36+11</f>
        <v>46185</v>
      </c>
      <c r="L36" s="77">
        <f>K36+3</f>
        <v>46188</v>
      </c>
      <c r="M36" s="77">
        <f>L36+11</f>
        <v>46199</v>
      </c>
      <c r="N36" s="77">
        <f>M36+3</f>
        <v>46202</v>
      </c>
      <c r="O36" s="77">
        <f>N36+11</f>
        <v>46213</v>
      </c>
      <c r="P36" s="95" t="s">
        <v>97</v>
      </c>
      <c r="Q36" s="106" t="s">
        <v>148</v>
      </c>
      <c r="R36" s="80" t="s">
        <v>134</v>
      </c>
      <c r="S36" s="112" t="s">
        <v>10</v>
      </c>
      <c r="T36" s="112" t="s">
        <v>12</v>
      </c>
      <c r="U36" s="112" t="s">
        <v>12</v>
      </c>
      <c r="V36" s="112" t="s">
        <v>12</v>
      </c>
      <c r="W36" s="82" t="s">
        <v>123</v>
      </c>
      <c r="X36" s="82" t="s">
        <v>101</v>
      </c>
      <c r="Y36" s="82" t="s">
        <v>124</v>
      </c>
      <c r="Z36" s="83"/>
      <c r="AA36" s="85"/>
      <c r="AB36" s="83"/>
      <c r="AC36" s="85"/>
      <c r="AD36" s="85"/>
      <c r="AE36" s="81" t="s">
        <v>21</v>
      </c>
      <c r="AF36" s="81" t="s">
        <v>135</v>
      </c>
      <c r="AG36" s="81" t="s">
        <v>136</v>
      </c>
    </row>
    <row r="37" ht="14.25" customHeight="1">
      <c r="A37" s="87"/>
      <c r="B37" s="87"/>
      <c r="C37" s="87"/>
      <c r="D37" s="8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95" t="s">
        <v>137</v>
      </c>
      <c r="Q37" s="107" t="s">
        <v>138</v>
      </c>
      <c r="R37" s="80" t="s">
        <v>139</v>
      </c>
      <c r="S37" s="112" t="s">
        <v>140</v>
      </c>
      <c r="T37" s="112" t="s">
        <v>12</v>
      </c>
      <c r="U37" s="112" t="s">
        <v>12</v>
      </c>
      <c r="V37" s="112" t="s">
        <v>12</v>
      </c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</row>
    <row r="38" ht="14.25" customHeight="1">
      <c r="A38" s="87"/>
      <c r="B38" s="87"/>
      <c r="C38" s="87"/>
      <c r="D38" s="8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95" t="s">
        <v>149</v>
      </c>
      <c r="Q38" s="106" t="s">
        <v>150</v>
      </c>
      <c r="R38" s="80" t="s">
        <v>143</v>
      </c>
      <c r="S38" s="112" t="s">
        <v>10</v>
      </c>
      <c r="T38" s="112" t="s">
        <v>12</v>
      </c>
      <c r="U38" s="112" t="s">
        <v>12</v>
      </c>
      <c r="V38" s="112" t="s">
        <v>12</v>
      </c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</row>
    <row r="39" ht="14.25" customHeight="1">
      <c r="A39" s="90"/>
      <c r="B39" s="90"/>
      <c r="C39" s="90"/>
      <c r="D39" s="90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95" t="s">
        <v>144</v>
      </c>
      <c r="Q39" s="104" t="s">
        <v>145</v>
      </c>
      <c r="R39" s="80" t="s">
        <v>146</v>
      </c>
      <c r="S39" s="112" t="s">
        <v>10</v>
      </c>
      <c r="T39" s="112" t="s">
        <v>12</v>
      </c>
      <c r="U39" s="112" t="s">
        <v>12</v>
      </c>
      <c r="V39" s="112" t="s">
        <v>12</v>
      </c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</row>
    <row r="40" ht="14.25" customHeight="1">
      <c r="A40" s="117" t="s">
        <v>63</v>
      </c>
      <c r="B40" s="117" t="s">
        <v>116</v>
      </c>
      <c r="C40" s="118" t="s">
        <v>151</v>
      </c>
      <c r="D40" s="73" t="s">
        <v>152</v>
      </c>
      <c r="E40" s="91" t="s">
        <v>153</v>
      </c>
      <c r="F40" s="92" t="s">
        <v>154</v>
      </c>
      <c r="G40" s="92" t="s">
        <v>155</v>
      </c>
      <c r="H40" s="93" t="s">
        <v>156</v>
      </c>
      <c r="I40" s="94">
        <v>46168.0</v>
      </c>
      <c r="J40" s="94">
        <f>I40+1</f>
        <v>46169</v>
      </c>
      <c r="K40" s="94">
        <f t="shared" ref="K40:K41" si="2">J40+11</f>
        <v>46180</v>
      </c>
      <c r="L40" s="94">
        <f t="shared" ref="L40:L41" si="3">K40+3</f>
        <v>46183</v>
      </c>
      <c r="M40" s="94">
        <f>L40+20</f>
        <v>46203</v>
      </c>
      <c r="N40" s="94"/>
      <c r="O40" s="94"/>
      <c r="P40" s="95" t="s">
        <v>88</v>
      </c>
      <c r="Q40" s="104" t="s">
        <v>157</v>
      </c>
      <c r="R40" s="80" t="s">
        <v>158</v>
      </c>
      <c r="S40" s="88">
        <v>0.0</v>
      </c>
      <c r="T40" s="112" t="s">
        <v>12</v>
      </c>
      <c r="U40" s="97" t="s">
        <v>12</v>
      </c>
      <c r="V40" s="97" t="s">
        <v>12</v>
      </c>
      <c r="W40" s="98" t="s">
        <v>74</v>
      </c>
      <c r="X40" s="98" t="s">
        <v>159</v>
      </c>
      <c r="Y40" s="98" t="s">
        <v>160</v>
      </c>
      <c r="Z40" s="100"/>
      <c r="AA40" s="101"/>
      <c r="AB40" s="99"/>
      <c r="AC40" s="97"/>
      <c r="AD40" s="97"/>
      <c r="AE40" s="97" t="s">
        <v>21</v>
      </c>
      <c r="AF40" s="97" t="s">
        <v>161</v>
      </c>
      <c r="AG40" s="97" t="s">
        <v>78</v>
      </c>
    </row>
    <row r="41" ht="14.25" customHeight="1">
      <c r="A41" s="117" t="s">
        <v>63</v>
      </c>
      <c r="B41" s="117" t="s">
        <v>116</v>
      </c>
      <c r="C41" s="90"/>
      <c r="D41" s="90"/>
      <c r="E41" s="91" t="s">
        <v>153</v>
      </c>
      <c r="F41" s="92" t="s">
        <v>162</v>
      </c>
      <c r="G41" s="92" t="s">
        <v>155</v>
      </c>
      <c r="H41" s="93" t="s">
        <v>70</v>
      </c>
      <c r="I41" s="94">
        <v>46188.0</v>
      </c>
      <c r="J41" s="94">
        <f>I41+3</f>
        <v>46191</v>
      </c>
      <c r="K41" s="94">
        <f t="shared" si="2"/>
        <v>46202</v>
      </c>
      <c r="L41" s="94">
        <f t="shared" si="3"/>
        <v>46205</v>
      </c>
      <c r="M41" s="94">
        <f t="shared" ref="M41:M43" si="4">L41+11</f>
        <v>46216</v>
      </c>
      <c r="N41" s="94"/>
      <c r="O41" s="94"/>
      <c r="P41" s="95" t="s">
        <v>88</v>
      </c>
      <c r="Q41" s="104" t="s">
        <v>157</v>
      </c>
      <c r="R41" s="80" t="s">
        <v>158</v>
      </c>
      <c r="S41" s="88">
        <v>0.0</v>
      </c>
      <c r="T41" s="112" t="s">
        <v>12</v>
      </c>
      <c r="U41" s="97" t="s">
        <v>12</v>
      </c>
      <c r="V41" s="97" t="s">
        <v>12</v>
      </c>
      <c r="W41" s="98" t="s">
        <v>74</v>
      </c>
      <c r="X41" s="98" t="s">
        <v>75</v>
      </c>
      <c r="Y41" s="98" t="s">
        <v>160</v>
      </c>
      <c r="Z41" s="100"/>
      <c r="AA41" s="101"/>
      <c r="AB41" s="99"/>
      <c r="AC41" s="97"/>
      <c r="AD41" s="97"/>
      <c r="AE41" s="97" t="s">
        <v>21</v>
      </c>
      <c r="AF41" s="97" t="s">
        <v>77</v>
      </c>
      <c r="AG41" s="97" t="s">
        <v>78</v>
      </c>
    </row>
    <row r="42" ht="14.25" customHeight="1">
      <c r="A42" s="117" t="s">
        <v>163</v>
      </c>
      <c r="B42" s="117" t="s">
        <v>164</v>
      </c>
      <c r="C42" s="119" t="s">
        <v>165</v>
      </c>
      <c r="D42" s="117" t="s">
        <v>166</v>
      </c>
      <c r="E42" s="91" t="s">
        <v>85</v>
      </c>
      <c r="F42" s="92" t="s">
        <v>167</v>
      </c>
      <c r="G42" s="92" t="s">
        <v>168</v>
      </c>
      <c r="H42" s="93" t="s">
        <v>70</v>
      </c>
      <c r="I42" s="94">
        <v>46168.0</v>
      </c>
      <c r="J42" s="94">
        <f>I42+1</f>
        <v>46169</v>
      </c>
      <c r="K42" s="94">
        <f>J42+16</f>
        <v>46185</v>
      </c>
      <c r="L42" s="94">
        <f>K42+30</f>
        <v>46215</v>
      </c>
      <c r="M42" s="94">
        <f t="shared" si="4"/>
        <v>46226</v>
      </c>
      <c r="N42" s="94"/>
      <c r="O42" s="94"/>
      <c r="P42" s="95" t="s">
        <v>88</v>
      </c>
      <c r="Q42" s="107" t="s">
        <v>169</v>
      </c>
      <c r="R42" s="80" t="s">
        <v>170</v>
      </c>
      <c r="S42" s="88">
        <v>30.0</v>
      </c>
      <c r="T42" s="97" t="s">
        <v>12</v>
      </c>
      <c r="U42" s="97" t="s">
        <v>12</v>
      </c>
      <c r="V42" s="97" t="s">
        <v>12</v>
      </c>
      <c r="W42" s="98" t="s">
        <v>171</v>
      </c>
      <c r="X42" s="98" t="s">
        <v>172</v>
      </c>
      <c r="Y42" s="98" t="s">
        <v>76</v>
      </c>
      <c r="Z42" s="100"/>
      <c r="AA42" s="100"/>
      <c r="AB42" s="99"/>
      <c r="AC42" s="97"/>
      <c r="AD42" s="97"/>
      <c r="AE42" s="97" t="s">
        <v>21</v>
      </c>
      <c r="AF42" s="97" t="s">
        <v>173</v>
      </c>
      <c r="AG42" s="97" t="s">
        <v>174</v>
      </c>
    </row>
    <row r="43" ht="14.25" customHeight="1">
      <c r="A43" s="117" t="s">
        <v>175</v>
      </c>
      <c r="B43" s="117" t="s">
        <v>176</v>
      </c>
      <c r="C43" s="114" t="s">
        <v>177</v>
      </c>
      <c r="D43" s="73" t="s">
        <v>178</v>
      </c>
      <c r="E43" s="91" t="s">
        <v>85</v>
      </c>
      <c r="F43" s="92" t="s">
        <v>179</v>
      </c>
      <c r="G43" s="92" t="s">
        <v>180</v>
      </c>
      <c r="H43" s="93" t="s">
        <v>181</v>
      </c>
      <c r="I43" s="94">
        <v>46178.0</v>
      </c>
      <c r="J43" s="94">
        <f t="shared" ref="J43:J44" si="5">I43+3</f>
        <v>46181</v>
      </c>
      <c r="K43" s="94">
        <f t="shared" ref="K43:K44" si="6">J43+11</f>
        <v>46192</v>
      </c>
      <c r="L43" s="94">
        <f t="shared" ref="L43:L44" si="7">K43+3</f>
        <v>46195</v>
      </c>
      <c r="M43" s="94">
        <f t="shared" si="4"/>
        <v>46206</v>
      </c>
      <c r="N43" s="94">
        <f t="shared" ref="N43:N44" si="8">M43+3</f>
        <v>46209</v>
      </c>
      <c r="O43" s="94">
        <f t="shared" ref="O43:O44" si="9">N43+11</f>
        <v>46220</v>
      </c>
      <c r="P43" s="95" t="s">
        <v>182</v>
      </c>
      <c r="Q43" s="106" t="s">
        <v>183</v>
      </c>
      <c r="R43" s="116" t="s">
        <v>21</v>
      </c>
      <c r="S43" s="88">
        <v>80.0</v>
      </c>
      <c r="T43" s="97" t="s">
        <v>12</v>
      </c>
      <c r="U43" s="97" t="s">
        <v>12</v>
      </c>
      <c r="V43" s="97" t="s">
        <v>12</v>
      </c>
      <c r="W43" s="98" t="s">
        <v>184</v>
      </c>
      <c r="X43" s="98" t="s">
        <v>185</v>
      </c>
      <c r="Y43" s="98" t="s">
        <v>186</v>
      </c>
      <c r="Z43" s="99"/>
      <c r="AA43" s="100"/>
      <c r="AB43" s="97"/>
      <c r="AC43" s="97"/>
      <c r="AD43" s="97"/>
      <c r="AE43" s="120">
        <v>0.4791666666666667</v>
      </c>
      <c r="AF43" s="97" t="s">
        <v>187</v>
      </c>
      <c r="AG43" s="97" t="s">
        <v>188</v>
      </c>
    </row>
    <row r="44" ht="14.25" customHeight="1">
      <c r="A44" s="102" t="s">
        <v>175</v>
      </c>
      <c r="B44" s="102" t="s">
        <v>176</v>
      </c>
      <c r="C44" s="87"/>
      <c r="D44" s="87"/>
      <c r="E44" s="75" t="s">
        <v>85</v>
      </c>
      <c r="F44" s="75" t="s">
        <v>189</v>
      </c>
      <c r="G44" s="75" t="s">
        <v>190</v>
      </c>
      <c r="H44" s="76" t="s">
        <v>70</v>
      </c>
      <c r="I44" s="77">
        <v>46178.0</v>
      </c>
      <c r="J44" s="77">
        <f t="shared" si="5"/>
        <v>46181</v>
      </c>
      <c r="K44" s="77">
        <f t="shared" si="6"/>
        <v>46192</v>
      </c>
      <c r="L44" s="77">
        <f t="shared" si="7"/>
        <v>46195</v>
      </c>
      <c r="M44" s="77">
        <f>L44+25</f>
        <v>46220</v>
      </c>
      <c r="N44" s="77">
        <f t="shared" si="8"/>
        <v>46223</v>
      </c>
      <c r="O44" s="77">
        <f t="shared" si="9"/>
        <v>46234</v>
      </c>
      <c r="P44" s="95" t="s">
        <v>88</v>
      </c>
      <c r="Q44" s="110" t="s">
        <v>191</v>
      </c>
      <c r="R44" s="121" t="s">
        <v>192</v>
      </c>
      <c r="S44" s="88" t="s">
        <v>73</v>
      </c>
      <c r="T44" s="81" t="s">
        <v>12</v>
      </c>
      <c r="U44" s="81" t="s">
        <v>12</v>
      </c>
      <c r="V44" s="81" t="s">
        <v>12</v>
      </c>
      <c r="W44" s="82" t="s">
        <v>184</v>
      </c>
      <c r="X44" s="82" t="s">
        <v>193</v>
      </c>
      <c r="Y44" s="82" t="s">
        <v>194</v>
      </c>
      <c r="Z44" s="83"/>
      <c r="AA44" s="84"/>
      <c r="AB44" s="81"/>
      <c r="AC44" s="81"/>
      <c r="AD44" s="81"/>
      <c r="AE44" s="122">
        <v>0.4791666666666667</v>
      </c>
      <c r="AF44" s="81" t="s">
        <v>187</v>
      </c>
      <c r="AG44" s="81" t="s">
        <v>188</v>
      </c>
    </row>
    <row r="45" ht="14.25" customHeight="1">
      <c r="A45" s="90"/>
      <c r="B45" s="90"/>
      <c r="C45" s="87"/>
      <c r="D45" s="87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123" t="s">
        <v>195</v>
      </c>
      <c r="Q45" s="110" t="s">
        <v>196</v>
      </c>
      <c r="R45" s="121" t="s">
        <v>21</v>
      </c>
      <c r="S45" s="88">
        <v>100.0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ht="14.25" customHeight="1">
      <c r="A46" s="117" t="s">
        <v>175</v>
      </c>
      <c r="B46" s="117" t="s">
        <v>176</v>
      </c>
      <c r="C46" s="87"/>
      <c r="D46" s="87"/>
      <c r="E46" s="91" t="s">
        <v>85</v>
      </c>
      <c r="F46" s="92" t="s">
        <v>197</v>
      </c>
      <c r="G46" s="92" t="s">
        <v>190</v>
      </c>
      <c r="H46" s="93" t="s">
        <v>70</v>
      </c>
      <c r="I46" s="94">
        <v>46178.0</v>
      </c>
      <c r="J46" s="94">
        <f t="shared" ref="J46:J48" si="10">I46+3</f>
        <v>46181</v>
      </c>
      <c r="K46" s="94">
        <f t="shared" ref="K46:K48" si="11">J46+11</f>
        <v>46192</v>
      </c>
      <c r="L46" s="94">
        <f t="shared" ref="L46:L53" si="12">K46+3</f>
        <v>46195</v>
      </c>
      <c r="M46" s="94">
        <f t="shared" ref="M46:M48" si="13">L46+25</f>
        <v>46220</v>
      </c>
      <c r="N46" s="94">
        <f t="shared" ref="N46:N53" si="14">M46+3</f>
        <v>46223</v>
      </c>
      <c r="O46" s="94">
        <f t="shared" ref="O46:O48" si="15">N46+11</f>
        <v>46234</v>
      </c>
      <c r="P46" s="123" t="s">
        <v>195</v>
      </c>
      <c r="Q46" s="104" t="s">
        <v>196</v>
      </c>
      <c r="R46" s="80" t="s">
        <v>21</v>
      </c>
      <c r="S46" s="88">
        <v>100.0</v>
      </c>
      <c r="T46" s="97" t="s">
        <v>12</v>
      </c>
      <c r="U46" s="97" t="s">
        <v>12</v>
      </c>
      <c r="V46" s="97" t="s">
        <v>12</v>
      </c>
      <c r="W46" s="98" t="s">
        <v>184</v>
      </c>
      <c r="X46" s="98" t="s">
        <v>185</v>
      </c>
      <c r="Y46" s="98" t="s">
        <v>194</v>
      </c>
      <c r="Z46" s="99"/>
      <c r="AA46" s="100"/>
      <c r="AB46" s="97"/>
      <c r="AC46" s="97"/>
      <c r="AD46" s="97"/>
      <c r="AE46" s="120">
        <v>0.4791666666666667</v>
      </c>
      <c r="AF46" s="97" t="s">
        <v>187</v>
      </c>
      <c r="AG46" s="97" t="s">
        <v>188</v>
      </c>
    </row>
    <row r="47" ht="14.25" customHeight="1">
      <c r="A47" s="117" t="s">
        <v>175</v>
      </c>
      <c r="B47" s="117" t="s">
        <v>176</v>
      </c>
      <c r="C47" s="87"/>
      <c r="D47" s="87"/>
      <c r="E47" s="91" t="s">
        <v>85</v>
      </c>
      <c r="F47" s="92" t="s">
        <v>198</v>
      </c>
      <c r="G47" s="92" t="s">
        <v>87</v>
      </c>
      <c r="H47" s="93" t="s">
        <v>70</v>
      </c>
      <c r="I47" s="94">
        <v>46178.0</v>
      </c>
      <c r="J47" s="94">
        <f t="shared" si="10"/>
        <v>46181</v>
      </c>
      <c r="K47" s="94">
        <f t="shared" si="11"/>
        <v>46192</v>
      </c>
      <c r="L47" s="94">
        <f t="shared" si="12"/>
        <v>46195</v>
      </c>
      <c r="M47" s="94">
        <f t="shared" si="13"/>
        <v>46220</v>
      </c>
      <c r="N47" s="94">
        <f t="shared" si="14"/>
        <v>46223</v>
      </c>
      <c r="O47" s="94">
        <f t="shared" si="15"/>
        <v>46234</v>
      </c>
      <c r="P47" s="123" t="s">
        <v>195</v>
      </c>
      <c r="Q47" s="104" t="s">
        <v>196</v>
      </c>
      <c r="R47" s="80" t="s">
        <v>21</v>
      </c>
      <c r="S47" s="88">
        <v>100.0</v>
      </c>
      <c r="T47" s="97" t="s">
        <v>12</v>
      </c>
      <c r="U47" s="97" t="s">
        <v>12</v>
      </c>
      <c r="V47" s="97" t="s">
        <v>12</v>
      </c>
      <c r="W47" s="98" t="s">
        <v>184</v>
      </c>
      <c r="X47" s="98" t="s">
        <v>199</v>
      </c>
      <c r="Y47" s="98" t="s">
        <v>194</v>
      </c>
      <c r="Z47" s="99"/>
      <c r="AA47" s="100"/>
      <c r="AB47" s="97"/>
      <c r="AC47" s="97"/>
      <c r="AD47" s="97"/>
      <c r="AE47" s="120">
        <v>0.4791666666666667</v>
      </c>
      <c r="AF47" s="97" t="s">
        <v>187</v>
      </c>
      <c r="AG47" s="97" t="s">
        <v>188</v>
      </c>
    </row>
    <row r="48" ht="14.25" customHeight="1">
      <c r="A48" s="117" t="s">
        <v>175</v>
      </c>
      <c r="B48" s="117" t="s">
        <v>176</v>
      </c>
      <c r="C48" s="90"/>
      <c r="D48" s="90"/>
      <c r="E48" s="91" t="s">
        <v>85</v>
      </c>
      <c r="F48" s="92" t="s">
        <v>200</v>
      </c>
      <c r="G48" s="92" t="s">
        <v>190</v>
      </c>
      <c r="H48" s="93" t="s">
        <v>70</v>
      </c>
      <c r="I48" s="94">
        <v>46178.0</v>
      </c>
      <c r="J48" s="94">
        <f t="shared" si="10"/>
        <v>46181</v>
      </c>
      <c r="K48" s="94">
        <f t="shared" si="11"/>
        <v>46192</v>
      </c>
      <c r="L48" s="94">
        <f t="shared" si="12"/>
        <v>46195</v>
      </c>
      <c r="M48" s="94">
        <f t="shared" si="13"/>
        <v>46220</v>
      </c>
      <c r="N48" s="94">
        <f t="shared" si="14"/>
        <v>46223</v>
      </c>
      <c r="O48" s="94">
        <f t="shared" si="15"/>
        <v>46234</v>
      </c>
      <c r="P48" s="89" t="s">
        <v>201</v>
      </c>
      <c r="Q48" s="104" t="s">
        <v>202</v>
      </c>
      <c r="R48" s="80" t="s">
        <v>107</v>
      </c>
      <c r="S48" s="88">
        <v>0.0</v>
      </c>
      <c r="T48" s="97" t="s">
        <v>12</v>
      </c>
      <c r="U48" s="97" t="s">
        <v>12</v>
      </c>
      <c r="V48" s="97" t="s">
        <v>12</v>
      </c>
      <c r="W48" s="98" t="s">
        <v>184</v>
      </c>
      <c r="X48" s="98" t="s">
        <v>199</v>
      </c>
      <c r="Y48" s="98" t="s">
        <v>194</v>
      </c>
      <c r="Z48" s="99"/>
      <c r="AA48" s="100"/>
      <c r="AB48" s="97"/>
      <c r="AC48" s="97"/>
      <c r="AD48" s="97"/>
      <c r="AE48" s="120">
        <v>0.4791666666666667</v>
      </c>
      <c r="AF48" s="97" t="s">
        <v>187</v>
      </c>
      <c r="AG48" s="97" t="s">
        <v>188</v>
      </c>
    </row>
    <row r="49" ht="14.25" customHeight="1">
      <c r="A49" s="117" t="s">
        <v>175</v>
      </c>
      <c r="B49" s="117" t="s">
        <v>176</v>
      </c>
      <c r="C49" s="118" t="s">
        <v>203</v>
      </c>
      <c r="D49" s="73" t="s">
        <v>204</v>
      </c>
      <c r="E49" s="91" t="s">
        <v>85</v>
      </c>
      <c r="F49" s="92" t="s">
        <v>205</v>
      </c>
      <c r="G49" s="92" t="s">
        <v>206</v>
      </c>
      <c r="H49" s="93" t="s">
        <v>96</v>
      </c>
      <c r="I49" s="94">
        <v>46169.0</v>
      </c>
      <c r="J49" s="94">
        <f t="shared" ref="J49:J51" si="16">I49+1</f>
        <v>46170</v>
      </c>
      <c r="K49" s="94">
        <f t="shared" ref="K49:K51" si="17">J49+33</f>
        <v>46203</v>
      </c>
      <c r="L49" s="94">
        <f t="shared" si="12"/>
        <v>46206</v>
      </c>
      <c r="M49" s="94">
        <f t="shared" ref="M49:M51" si="18">L49+30</f>
        <v>46236</v>
      </c>
      <c r="N49" s="94">
        <f t="shared" si="14"/>
        <v>46239</v>
      </c>
      <c r="O49" s="94">
        <f t="shared" ref="O49:O51" si="19">N49+60</f>
        <v>46299</v>
      </c>
      <c r="P49" s="95" t="s">
        <v>182</v>
      </c>
      <c r="Q49" s="106" t="s">
        <v>207</v>
      </c>
      <c r="R49" s="116" t="s">
        <v>21</v>
      </c>
      <c r="S49" s="88">
        <v>80.0</v>
      </c>
      <c r="T49" s="97"/>
      <c r="U49" s="97" t="s">
        <v>12</v>
      </c>
      <c r="V49" s="97" t="s">
        <v>12</v>
      </c>
      <c r="W49" s="98" t="s">
        <v>208</v>
      </c>
      <c r="X49" s="98" t="s">
        <v>101</v>
      </c>
      <c r="Y49" s="82" t="s">
        <v>114</v>
      </c>
      <c r="Z49" s="99"/>
      <c r="AA49" s="124"/>
      <c r="AB49" s="125"/>
      <c r="AC49" s="97"/>
      <c r="AD49" s="97"/>
      <c r="AE49" s="120">
        <v>0.4791666666666667</v>
      </c>
      <c r="AF49" s="97" t="s">
        <v>187</v>
      </c>
      <c r="AG49" s="97" t="s">
        <v>188</v>
      </c>
    </row>
    <row r="50" ht="14.25" customHeight="1">
      <c r="A50" s="117" t="s">
        <v>175</v>
      </c>
      <c r="B50" s="117" t="s">
        <v>176</v>
      </c>
      <c r="C50" s="87"/>
      <c r="D50" s="87"/>
      <c r="E50" s="91" t="s">
        <v>85</v>
      </c>
      <c r="F50" s="92" t="s">
        <v>209</v>
      </c>
      <c r="G50" s="92" t="s">
        <v>206</v>
      </c>
      <c r="H50" s="93" t="s">
        <v>96</v>
      </c>
      <c r="I50" s="94">
        <v>46169.0</v>
      </c>
      <c r="J50" s="94">
        <f t="shared" si="16"/>
        <v>46170</v>
      </c>
      <c r="K50" s="94">
        <f t="shared" si="17"/>
        <v>46203</v>
      </c>
      <c r="L50" s="94">
        <f t="shared" si="12"/>
        <v>46206</v>
      </c>
      <c r="M50" s="94">
        <f t="shared" si="18"/>
        <v>46236</v>
      </c>
      <c r="N50" s="94">
        <f t="shared" si="14"/>
        <v>46239</v>
      </c>
      <c r="O50" s="94">
        <f t="shared" si="19"/>
        <v>46299</v>
      </c>
      <c r="P50" s="95" t="s">
        <v>182</v>
      </c>
      <c r="Q50" s="106" t="s">
        <v>207</v>
      </c>
      <c r="R50" s="116" t="s">
        <v>21</v>
      </c>
      <c r="S50" s="88">
        <v>80.0</v>
      </c>
      <c r="T50" s="97" t="s">
        <v>12</v>
      </c>
      <c r="U50" s="97" t="s">
        <v>12</v>
      </c>
      <c r="V50" s="97" t="s">
        <v>12</v>
      </c>
      <c r="W50" s="98" t="s">
        <v>208</v>
      </c>
      <c r="X50" s="98" t="s">
        <v>101</v>
      </c>
      <c r="Y50" s="49"/>
      <c r="Z50" s="99"/>
      <c r="AA50" s="124"/>
      <c r="AB50" s="125"/>
      <c r="AC50" s="97"/>
      <c r="AD50" s="97"/>
      <c r="AE50" s="120">
        <v>0.4791666666666667</v>
      </c>
      <c r="AF50" s="97" t="s">
        <v>187</v>
      </c>
      <c r="AG50" s="97" t="s">
        <v>188</v>
      </c>
    </row>
    <row r="51" ht="14.25" customHeight="1">
      <c r="A51" s="117" t="s">
        <v>175</v>
      </c>
      <c r="B51" s="117" t="s">
        <v>176</v>
      </c>
      <c r="C51" s="90"/>
      <c r="D51" s="90"/>
      <c r="E51" s="91" t="s">
        <v>85</v>
      </c>
      <c r="F51" s="92" t="s">
        <v>210</v>
      </c>
      <c r="G51" s="92" t="s">
        <v>206</v>
      </c>
      <c r="H51" s="93" t="s">
        <v>96</v>
      </c>
      <c r="I51" s="94">
        <v>46169.0</v>
      </c>
      <c r="J51" s="94">
        <f t="shared" si="16"/>
        <v>46170</v>
      </c>
      <c r="K51" s="94">
        <f t="shared" si="17"/>
        <v>46203</v>
      </c>
      <c r="L51" s="94">
        <f t="shared" si="12"/>
        <v>46206</v>
      </c>
      <c r="M51" s="94">
        <f t="shared" si="18"/>
        <v>46236</v>
      </c>
      <c r="N51" s="94">
        <f t="shared" si="14"/>
        <v>46239</v>
      </c>
      <c r="O51" s="94">
        <f t="shared" si="19"/>
        <v>46299</v>
      </c>
      <c r="P51" s="95" t="s">
        <v>182</v>
      </c>
      <c r="Q51" s="106" t="s">
        <v>207</v>
      </c>
      <c r="R51" s="116" t="s">
        <v>21</v>
      </c>
      <c r="S51" s="88">
        <v>80.0</v>
      </c>
      <c r="T51" s="97" t="s">
        <v>12</v>
      </c>
      <c r="U51" s="97" t="s">
        <v>12</v>
      </c>
      <c r="V51" s="97" t="s">
        <v>12</v>
      </c>
      <c r="W51" s="98" t="s">
        <v>208</v>
      </c>
      <c r="X51" s="98" t="s">
        <v>101</v>
      </c>
      <c r="Y51" s="82" t="s">
        <v>114</v>
      </c>
      <c r="Z51" s="99"/>
      <c r="AA51" s="124"/>
      <c r="AB51" s="125"/>
      <c r="AC51" s="97"/>
      <c r="AD51" s="97"/>
      <c r="AE51" s="120">
        <v>0.4791666666666667</v>
      </c>
      <c r="AF51" s="97" t="s">
        <v>187</v>
      </c>
      <c r="AG51" s="97" t="s">
        <v>188</v>
      </c>
    </row>
    <row r="52" ht="14.25" customHeight="1">
      <c r="A52" s="117" t="s">
        <v>175</v>
      </c>
      <c r="B52" s="117" t="s">
        <v>176</v>
      </c>
      <c r="C52" s="119" t="s">
        <v>211</v>
      </c>
      <c r="D52" s="117" t="s">
        <v>212</v>
      </c>
      <c r="E52" s="91" t="s">
        <v>85</v>
      </c>
      <c r="F52" s="92" t="s">
        <v>213</v>
      </c>
      <c r="G52" s="92" t="s">
        <v>214</v>
      </c>
      <c r="H52" s="93" t="s">
        <v>70</v>
      </c>
      <c r="I52" s="94">
        <v>46188.0</v>
      </c>
      <c r="J52" s="94">
        <f t="shared" ref="J52:J53" si="20">I52+3</f>
        <v>46191</v>
      </c>
      <c r="K52" s="94">
        <f t="shared" ref="K52:K53" si="21">J52+11</f>
        <v>46202</v>
      </c>
      <c r="L52" s="94">
        <f t="shared" si="12"/>
        <v>46205</v>
      </c>
      <c r="M52" s="94">
        <f t="shared" ref="M52:M53" si="22">L52+11</f>
        <v>46216</v>
      </c>
      <c r="N52" s="94">
        <f t="shared" si="14"/>
        <v>46219</v>
      </c>
      <c r="O52" s="94">
        <f t="shared" ref="O52:O53" si="23">N52+11</f>
        <v>46230</v>
      </c>
      <c r="P52" s="95" t="s">
        <v>20</v>
      </c>
      <c r="Q52" s="106" t="s">
        <v>215</v>
      </c>
      <c r="R52" s="116" t="s">
        <v>21</v>
      </c>
      <c r="S52" s="88">
        <v>80.0</v>
      </c>
      <c r="T52" s="97" t="s">
        <v>12</v>
      </c>
      <c r="U52" s="97" t="s">
        <v>12</v>
      </c>
      <c r="V52" s="97" t="s">
        <v>12</v>
      </c>
      <c r="W52" s="98" t="s">
        <v>171</v>
      </c>
      <c r="X52" s="98" t="s">
        <v>208</v>
      </c>
      <c r="Y52" s="49"/>
      <c r="Z52" s="99"/>
      <c r="AA52" s="124"/>
      <c r="AB52" s="125"/>
      <c r="AC52" s="97"/>
      <c r="AD52" s="97"/>
      <c r="AE52" s="97" t="s">
        <v>21</v>
      </c>
      <c r="AF52" s="97" t="s">
        <v>161</v>
      </c>
      <c r="AG52" s="120">
        <v>0.3958333333333333</v>
      </c>
    </row>
    <row r="53" ht="14.25" customHeight="1">
      <c r="A53" s="126" t="s">
        <v>175</v>
      </c>
      <c r="B53" s="126" t="s">
        <v>216</v>
      </c>
      <c r="C53" s="102" t="s">
        <v>217</v>
      </c>
      <c r="D53" s="102" t="s">
        <v>218</v>
      </c>
      <c r="E53" s="127" t="s">
        <v>85</v>
      </c>
      <c r="F53" s="75" t="s">
        <v>219</v>
      </c>
      <c r="G53" s="75" t="s">
        <v>220</v>
      </c>
      <c r="H53" s="115" t="s">
        <v>70</v>
      </c>
      <c r="I53" s="128">
        <v>46235.0</v>
      </c>
      <c r="J53" s="128">
        <f t="shared" si="20"/>
        <v>46238</v>
      </c>
      <c r="K53" s="128">
        <f t="shared" si="21"/>
        <v>46249</v>
      </c>
      <c r="L53" s="128">
        <f t="shared" si="12"/>
        <v>46252</v>
      </c>
      <c r="M53" s="128">
        <f t="shared" si="22"/>
        <v>46263</v>
      </c>
      <c r="N53" s="128">
        <f t="shared" si="14"/>
        <v>46266</v>
      </c>
      <c r="O53" s="128">
        <f t="shared" si="23"/>
        <v>46277</v>
      </c>
      <c r="P53" s="95" t="s">
        <v>221</v>
      </c>
      <c r="Q53" s="106" t="s">
        <v>222</v>
      </c>
      <c r="R53" s="111" t="s">
        <v>223</v>
      </c>
      <c r="S53" s="97">
        <v>240.0</v>
      </c>
      <c r="T53" s="97" t="s">
        <v>12</v>
      </c>
      <c r="U53" s="97" t="s">
        <v>12</v>
      </c>
      <c r="V53" s="97" t="s">
        <v>12</v>
      </c>
      <c r="W53" s="98" t="s">
        <v>75</v>
      </c>
      <c r="X53" s="98" t="s">
        <v>224</v>
      </c>
      <c r="Y53" s="98" t="s">
        <v>124</v>
      </c>
      <c r="Z53" s="99"/>
      <c r="AA53" s="124"/>
      <c r="AB53" s="125"/>
      <c r="AC53" s="129"/>
      <c r="AD53" s="97"/>
      <c r="AE53" s="97" t="s">
        <v>21</v>
      </c>
      <c r="AF53" s="97" t="s">
        <v>161</v>
      </c>
      <c r="AG53" s="97" t="s">
        <v>174</v>
      </c>
    </row>
    <row r="54" ht="14.25" customHeight="1">
      <c r="A54" s="90"/>
      <c r="B54" s="90"/>
      <c r="C54" s="87"/>
      <c r="D54" s="87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95" t="s">
        <v>225</v>
      </c>
      <c r="Q54" s="95" t="s">
        <v>226</v>
      </c>
      <c r="R54" s="80" t="s">
        <v>227</v>
      </c>
      <c r="S54" s="97">
        <v>75.0</v>
      </c>
      <c r="T54" s="97"/>
      <c r="U54" s="97"/>
      <c r="V54" s="97"/>
      <c r="W54" s="130"/>
      <c r="X54" s="130"/>
      <c r="Y54" s="130"/>
      <c r="Z54" s="99"/>
      <c r="AA54" s="124"/>
      <c r="AB54" s="125"/>
      <c r="AC54" s="129"/>
      <c r="AD54" s="97"/>
      <c r="AE54" s="97"/>
      <c r="AF54" s="97"/>
      <c r="AG54" s="97"/>
    </row>
    <row r="55" ht="14.25" customHeight="1">
      <c r="A55" s="126" t="s">
        <v>175</v>
      </c>
      <c r="B55" s="126" t="s">
        <v>216</v>
      </c>
      <c r="C55" s="87"/>
      <c r="D55" s="87"/>
      <c r="E55" s="127" t="s">
        <v>85</v>
      </c>
      <c r="F55" s="75" t="s">
        <v>228</v>
      </c>
      <c r="G55" s="75" t="s">
        <v>229</v>
      </c>
      <c r="H55" s="115" t="s">
        <v>70</v>
      </c>
      <c r="I55" s="128">
        <v>46235.0</v>
      </c>
      <c r="J55" s="128">
        <f>I55+3</f>
        <v>46238</v>
      </c>
      <c r="K55" s="128">
        <f>J55+11</f>
        <v>46249</v>
      </c>
      <c r="L55" s="128">
        <f>K55+3</f>
        <v>46252</v>
      </c>
      <c r="M55" s="128">
        <f>L55+11</f>
        <v>46263</v>
      </c>
      <c r="N55" s="128">
        <f>M55+3</f>
        <v>46266</v>
      </c>
      <c r="O55" s="128">
        <f>N55+11</f>
        <v>46277</v>
      </c>
      <c r="P55" s="95" t="s">
        <v>230</v>
      </c>
      <c r="Q55" s="95" t="s">
        <v>231</v>
      </c>
      <c r="R55" s="80" t="s">
        <v>21</v>
      </c>
      <c r="S55" s="97">
        <v>100.0</v>
      </c>
      <c r="T55" s="97" t="s">
        <v>12</v>
      </c>
      <c r="U55" s="97" t="s">
        <v>12</v>
      </c>
      <c r="V55" s="97" t="s">
        <v>12</v>
      </c>
      <c r="W55" s="131" t="s">
        <v>75</v>
      </c>
      <c r="X55" s="131" t="s">
        <v>232</v>
      </c>
      <c r="Y55" s="131" t="s">
        <v>124</v>
      </c>
      <c r="Z55" s="132"/>
      <c r="AA55" s="133"/>
      <c r="AB55" s="134"/>
      <c r="AC55" s="135"/>
      <c r="AD55" s="136"/>
      <c r="AE55" s="136" t="s">
        <v>21</v>
      </c>
      <c r="AF55" s="136" t="s">
        <v>161</v>
      </c>
      <c r="AG55" s="136" t="s">
        <v>174</v>
      </c>
    </row>
    <row r="56" ht="14.25" customHeight="1">
      <c r="A56" s="90"/>
      <c r="B56" s="90"/>
      <c r="C56" s="87"/>
      <c r="D56" s="87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95" t="s">
        <v>233</v>
      </c>
      <c r="Q56" s="95" t="s">
        <v>234</v>
      </c>
      <c r="R56" s="96" t="s">
        <v>21</v>
      </c>
      <c r="S56" s="88">
        <v>100.0</v>
      </c>
      <c r="T56" s="105"/>
      <c r="U56" s="105"/>
      <c r="V56" s="105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</row>
    <row r="57" ht="14.25" customHeight="1">
      <c r="A57" s="102" t="s">
        <v>175</v>
      </c>
      <c r="B57" s="102" t="s">
        <v>235</v>
      </c>
      <c r="C57" s="87"/>
      <c r="D57" s="87"/>
      <c r="E57" s="127" t="s">
        <v>85</v>
      </c>
      <c r="F57" s="75" t="s">
        <v>236</v>
      </c>
      <c r="G57" s="75" t="s">
        <v>237</v>
      </c>
      <c r="H57" s="76" t="s">
        <v>70</v>
      </c>
      <c r="I57" s="77">
        <v>46192.0</v>
      </c>
      <c r="J57" s="77">
        <f>I57+3</f>
        <v>46195</v>
      </c>
      <c r="K57" s="77">
        <f>J57+11</f>
        <v>46206</v>
      </c>
      <c r="L57" s="77">
        <f>K57+3</f>
        <v>46209</v>
      </c>
      <c r="M57" s="77">
        <f>L57+11</f>
        <v>46220</v>
      </c>
      <c r="N57" s="77">
        <f>M57+3</f>
        <v>46223</v>
      </c>
      <c r="O57" s="77">
        <f>N57+11</f>
        <v>46234</v>
      </c>
      <c r="P57" s="123" t="s">
        <v>238</v>
      </c>
      <c r="Q57" s="110" t="s">
        <v>239</v>
      </c>
      <c r="R57" s="96" t="s">
        <v>240</v>
      </c>
      <c r="S57" s="88">
        <v>100.0</v>
      </c>
      <c r="T57" s="105" t="s">
        <v>12</v>
      </c>
      <c r="U57" s="105" t="s">
        <v>12</v>
      </c>
      <c r="V57" s="105" t="s">
        <v>12</v>
      </c>
      <c r="W57" s="82" t="s">
        <v>75</v>
      </c>
      <c r="X57" s="82" t="s">
        <v>232</v>
      </c>
      <c r="Y57" s="82" t="s">
        <v>241</v>
      </c>
      <c r="Z57" s="83"/>
      <c r="AA57" s="113"/>
      <c r="AB57" s="81"/>
      <c r="AC57" s="137"/>
      <c r="AD57" s="81"/>
      <c r="AE57" s="81" t="s">
        <v>21</v>
      </c>
      <c r="AF57" s="81" t="s">
        <v>161</v>
      </c>
      <c r="AG57" s="81" t="s">
        <v>174</v>
      </c>
    </row>
    <row r="58" ht="14.25" customHeight="1">
      <c r="A58" s="87"/>
      <c r="B58" s="87"/>
      <c r="C58" s="87"/>
      <c r="D58" s="8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123" t="s">
        <v>242</v>
      </c>
      <c r="Q58" s="138" t="s">
        <v>243</v>
      </c>
      <c r="R58" s="96" t="s">
        <v>244</v>
      </c>
      <c r="S58" s="88">
        <v>80.0</v>
      </c>
      <c r="T58" s="105" t="s">
        <v>12</v>
      </c>
      <c r="U58" s="105" t="s">
        <v>12</v>
      </c>
      <c r="V58" s="105" t="s">
        <v>12</v>
      </c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 ht="14.25" customHeight="1">
      <c r="A59" s="90"/>
      <c r="B59" s="90"/>
      <c r="C59" s="87"/>
      <c r="D59" s="87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109" t="s">
        <v>245</v>
      </c>
      <c r="Q59" s="138" t="s">
        <v>246</v>
      </c>
      <c r="R59" s="111" t="s">
        <v>247</v>
      </c>
      <c r="S59" s="97">
        <v>0.0</v>
      </c>
      <c r="T59" s="139" t="s">
        <v>12</v>
      </c>
      <c r="U59" s="139" t="s">
        <v>12</v>
      </c>
      <c r="V59" s="139" t="s">
        <v>12</v>
      </c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</row>
    <row r="60" ht="14.25" customHeight="1">
      <c r="A60" s="102" t="s">
        <v>175</v>
      </c>
      <c r="B60" s="102" t="s">
        <v>248</v>
      </c>
      <c r="C60" s="87"/>
      <c r="D60" s="87"/>
      <c r="E60" s="127" t="s">
        <v>85</v>
      </c>
      <c r="F60" s="75" t="s">
        <v>249</v>
      </c>
      <c r="G60" s="75" t="s">
        <v>250</v>
      </c>
      <c r="H60" s="76" t="s">
        <v>156</v>
      </c>
      <c r="I60" s="77">
        <v>46185.0</v>
      </c>
      <c r="J60" s="77">
        <f>I60+3</f>
        <v>46188</v>
      </c>
      <c r="K60" s="77">
        <f>J60+11</f>
        <v>46199</v>
      </c>
      <c r="L60" s="77">
        <f>K60+3</f>
        <v>46202</v>
      </c>
      <c r="M60" s="77">
        <f>L60+11</f>
        <v>46213</v>
      </c>
      <c r="N60" s="77">
        <f>M60+3</f>
        <v>46216</v>
      </c>
      <c r="O60" s="77">
        <f>N60+11</f>
        <v>46227</v>
      </c>
      <c r="P60" s="123" t="s">
        <v>251</v>
      </c>
      <c r="Q60" s="138" t="s">
        <v>252</v>
      </c>
      <c r="R60" s="96" t="s">
        <v>253</v>
      </c>
      <c r="S60" s="88">
        <v>80.0</v>
      </c>
      <c r="T60" s="105" t="s">
        <v>12</v>
      </c>
      <c r="U60" s="105" t="s">
        <v>12</v>
      </c>
      <c r="V60" s="105" t="s">
        <v>12</v>
      </c>
      <c r="W60" s="82" t="s">
        <v>75</v>
      </c>
      <c r="X60" s="82" t="s">
        <v>254</v>
      </c>
      <c r="Y60" s="82" t="s">
        <v>255</v>
      </c>
      <c r="Z60" s="83"/>
      <c r="AA60" s="113"/>
      <c r="AB60" s="81"/>
      <c r="AC60" s="137"/>
      <c r="AD60" s="81"/>
      <c r="AE60" s="81" t="s">
        <v>21</v>
      </c>
      <c r="AF60" s="81" t="s">
        <v>161</v>
      </c>
      <c r="AG60" s="81" t="s">
        <v>174</v>
      </c>
    </row>
    <row r="61" ht="14.25" customHeight="1">
      <c r="A61" s="87"/>
      <c r="B61" s="87"/>
      <c r="C61" s="87"/>
      <c r="D61" s="8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123" t="s">
        <v>256</v>
      </c>
      <c r="Q61" s="138" t="s">
        <v>257</v>
      </c>
      <c r="R61" s="96" t="s">
        <v>258</v>
      </c>
      <c r="S61" s="88">
        <v>80.0</v>
      </c>
      <c r="T61" s="105" t="s">
        <v>12</v>
      </c>
      <c r="U61" s="105" t="s">
        <v>12</v>
      </c>
      <c r="V61" s="105" t="s">
        <v>12</v>
      </c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</row>
    <row r="62" ht="14.25" customHeight="1">
      <c r="A62" s="87"/>
      <c r="B62" s="87"/>
      <c r="C62" s="87"/>
      <c r="D62" s="8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138" t="s">
        <v>259</v>
      </c>
      <c r="Q62" s="138" t="s">
        <v>260</v>
      </c>
      <c r="R62" s="112" t="s">
        <v>261</v>
      </c>
      <c r="S62" s="112">
        <v>75.0</v>
      </c>
      <c r="T62" s="112" t="s">
        <v>12</v>
      </c>
      <c r="U62" s="112" t="s">
        <v>12</v>
      </c>
      <c r="V62" s="112" t="s">
        <v>12</v>
      </c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</row>
    <row r="63" ht="14.25" customHeight="1">
      <c r="A63" s="90"/>
      <c r="B63" s="90"/>
      <c r="C63" s="90"/>
      <c r="D63" s="90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138" t="s">
        <v>20</v>
      </c>
      <c r="Q63" s="138" t="s">
        <v>262</v>
      </c>
      <c r="R63" s="111" t="s">
        <v>21</v>
      </c>
      <c r="S63" s="112">
        <v>80.0</v>
      </c>
      <c r="T63" s="112" t="s">
        <v>12</v>
      </c>
      <c r="U63" s="112" t="s">
        <v>12</v>
      </c>
      <c r="V63" s="112" t="s">
        <v>12</v>
      </c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</row>
    <row r="64">
      <c r="A64" s="53"/>
      <c r="B64" s="140"/>
      <c r="C64" s="140"/>
      <c r="D64" s="140"/>
      <c r="E64" s="5"/>
      <c r="F64" s="4"/>
      <c r="G64" s="4"/>
      <c r="H64" s="4"/>
      <c r="I64" s="4"/>
      <c r="J64" s="4"/>
      <c r="K64" s="4"/>
      <c r="L64" s="41"/>
      <c r="M64" s="5"/>
      <c r="N64" s="5"/>
      <c r="O64" s="5"/>
      <c r="P64" s="6"/>
      <c r="Q64" s="4"/>
      <c r="R64" s="4"/>
      <c r="S64" s="4"/>
      <c r="T64" s="7"/>
      <c r="U64" s="7"/>
      <c r="V64" s="7"/>
      <c r="W64" s="7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141" t="s">
        <v>263</v>
      </c>
      <c r="B65" s="142"/>
      <c r="C65" s="142"/>
      <c r="D65" s="142"/>
      <c r="E65" s="143"/>
      <c r="F65" s="4"/>
      <c r="G65" s="4"/>
      <c r="H65" s="4"/>
      <c r="I65" s="4"/>
      <c r="J65" s="4"/>
      <c r="K65" s="4"/>
      <c r="L65" s="4"/>
      <c r="M65" s="5"/>
      <c r="N65" s="5"/>
      <c r="O65" s="5"/>
      <c r="P65" s="6"/>
      <c r="Q65" s="4"/>
      <c r="R65" s="4"/>
      <c r="S65" s="7"/>
      <c r="T65" s="7"/>
      <c r="U65" s="7"/>
      <c r="V65" s="4"/>
      <c r="W65" s="4"/>
      <c r="X65" s="4"/>
      <c r="Y65" s="4"/>
      <c r="Z65" s="4"/>
      <c r="AA65" s="144"/>
      <c r="AB65" s="144"/>
      <c r="AC65" s="144"/>
      <c r="AD65" s="144"/>
      <c r="AE65" s="144"/>
      <c r="AF65" s="144"/>
      <c r="AG65" s="144"/>
    </row>
    <row r="66">
      <c r="A66" s="145" t="s">
        <v>264</v>
      </c>
      <c r="B66" s="146" t="s">
        <v>265</v>
      </c>
      <c r="C66" s="146" t="s">
        <v>266</v>
      </c>
      <c r="D66" s="147" t="s">
        <v>54</v>
      </c>
      <c r="E66" s="4"/>
      <c r="F66" s="4"/>
      <c r="G66" s="4"/>
      <c r="H66" s="4"/>
      <c r="I66" s="4"/>
      <c r="J66" s="4"/>
      <c r="K66" s="4"/>
      <c r="L66" s="4"/>
      <c r="M66" s="5"/>
      <c r="N66" s="5"/>
      <c r="O66" s="5"/>
      <c r="P66" s="6"/>
      <c r="Q66" s="4"/>
      <c r="R66" s="4"/>
      <c r="S66" s="7"/>
      <c r="T66" s="7"/>
      <c r="U66" s="7"/>
      <c r="V66" s="4"/>
      <c r="W66" s="4"/>
      <c r="X66" s="4"/>
      <c r="Y66" s="4"/>
      <c r="Z66" s="4"/>
      <c r="AA66" s="144"/>
      <c r="AB66" s="144"/>
      <c r="AC66" s="144"/>
      <c r="AD66" s="144"/>
      <c r="AE66" s="144"/>
      <c r="AF66" s="144"/>
      <c r="AG66" s="144"/>
    </row>
    <row r="67" ht="15.75" customHeight="1">
      <c r="A67" s="148" t="s">
        <v>267</v>
      </c>
      <c r="B67" s="149" t="s">
        <v>268</v>
      </c>
      <c r="C67" s="150" t="s">
        <v>269</v>
      </c>
      <c r="D67" s="151" t="s">
        <v>269</v>
      </c>
      <c r="E67" s="4"/>
      <c r="F67" s="4"/>
      <c r="G67" s="4"/>
      <c r="H67" s="4"/>
      <c r="I67" s="4"/>
      <c r="J67" s="4"/>
      <c r="K67" s="4"/>
      <c r="L67" s="4"/>
      <c r="M67" s="5"/>
      <c r="N67" s="5"/>
      <c r="O67" s="5"/>
      <c r="P67" s="6"/>
      <c r="Q67" s="4"/>
      <c r="R67" s="4"/>
      <c r="S67" s="7"/>
      <c r="T67" s="7"/>
      <c r="U67" s="7"/>
      <c r="V67" s="4"/>
      <c r="W67" s="4"/>
      <c r="X67" s="4"/>
      <c r="Y67" s="4"/>
      <c r="Z67" s="4"/>
      <c r="AA67" s="144"/>
      <c r="AB67" s="144"/>
      <c r="AC67" s="144"/>
      <c r="AD67" s="144"/>
      <c r="AE67" s="144"/>
      <c r="AF67" s="144"/>
      <c r="AG67" s="144"/>
    </row>
    <row r="68" ht="15.75" customHeight="1">
      <c r="A68" s="148" t="s">
        <v>270</v>
      </c>
      <c r="B68" s="149" t="s">
        <v>268</v>
      </c>
      <c r="C68" s="150" t="s">
        <v>269</v>
      </c>
      <c r="D68" s="151" t="s">
        <v>269</v>
      </c>
      <c r="E68" s="4"/>
      <c r="F68" s="4"/>
      <c r="G68" s="4"/>
      <c r="H68" s="4"/>
      <c r="I68" s="4"/>
      <c r="J68" s="4"/>
      <c r="K68" s="4"/>
      <c r="L68" s="4"/>
      <c r="M68" s="5"/>
      <c r="N68" s="5"/>
      <c r="O68" s="5"/>
      <c r="P68" s="6"/>
      <c r="Q68" s="4"/>
      <c r="R68" s="4"/>
      <c r="S68" s="7"/>
      <c r="T68" s="7"/>
      <c r="U68" s="7"/>
      <c r="V68" s="4"/>
      <c r="W68" s="4"/>
      <c r="X68" s="4"/>
      <c r="Y68" s="4"/>
      <c r="Z68" s="4"/>
      <c r="AA68" s="144"/>
      <c r="AB68" s="144"/>
      <c r="AC68" s="144"/>
      <c r="AD68" s="144"/>
      <c r="AE68" s="144"/>
      <c r="AF68" s="144"/>
      <c r="AG68" s="144"/>
    </row>
    <row r="69" ht="15.75" customHeight="1">
      <c r="A69" s="148" t="s">
        <v>271</v>
      </c>
      <c r="B69" s="149" t="s">
        <v>24</v>
      </c>
      <c r="C69" s="150" t="s">
        <v>269</v>
      </c>
      <c r="D69" s="151" t="s">
        <v>269</v>
      </c>
      <c r="E69" s="4"/>
      <c r="F69" s="4"/>
      <c r="G69" s="4"/>
      <c r="H69" s="4"/>
      <c r="I69" s="4"/>
      <c r="J69" s="4"/>
      <c r="K69" s="4"/>
      <c r="L69" s="4"/>
      <c r="M69" s="5"/>
      <c r="N69" s="5"/>
      <c r="O69" s="5"/>
      <c r="P69" s="6"/>
      <c r="Q69" s="4"/>
      <c r="R69" s="4"/>
      <c r="S69" s="7"/>
      <c r="T69" s="7"/>
      <c r="U69" s="7"/>
      <c r="V69" s="4"/>
      <c r="W69" s="4"/>
      <c r="X69" s="4"/>
      <c r="Y69" s="4"/>
      <c r="Z69" s="4"/>
      <c r="AA69" s="144"/>
      <c r="AB69" s="144"/>
      <c r="AC69" s="144"/>
      <c r="AD69" s="144"/>
      <c r="AE69" s="144"/>
      <c r="AF69" s="144"/>
      <c r="AG69" s="144"/>
    </row>
    <row r="70" ht="15.75" customHeight="1">
      <c r="A70" s="148" t="s">
        <v>272</v>
      </c>
      <c r="B70" s="152" t="s">
        <v>273</v>
      </c>
      <c r="C70" s="150" t="s">
        <v>269</v>
      </c>
      <c r="D70" s="151" t="s">
        <v>269</v>
      </c>
      <c r="E70" s="4"/>
      <c r="F70" s="4"/>
      <c r="G70" s="4"/>
      <c r="H70" s="4"/>
      <c r="I70" s="4"/>
      <c r="J70" s="4"/>
      <c r="K70" s="4"/>
      <c r="L70" s="4"/>
      <c r="M70" s="5"/>
      <c r="N70" s="5"/>
      <c r="O70" s="5"/>
      <c r="P70" s="6"/>
      <c r="Q70" s="4"/>
      <c r="R70" s="4"/>
      <c r="S70" s="7"/>
      <c r="T70" s="7"/>
      <c r="U70" s="7"/>
      <c r="V70" s="4"/>
      <c r="W70" s="4"/>
      <c r="X70" s="4"/>
      <c r="Y70" s="4"/>
      <c r="Z70" s="4"/>
      <c r="AA70" s="144"/>
      <c r="AB70" s="144"/>
      <c r="AC70" s="144"/>
      <c r="AD70" s="144"/>
      <c r="AE70" s="144"/>
      <c r="AF70" s="144"/>
      <c r="AG70" s="144"/>
    </row>
    <row r="71" ht="15.75" customHeight="1">
      <c r="A71" s="148" t="s">
        <v>274</v>
      </c>
      <c r="B71" s="149" t="s">
        <v>268</v>
      </c>
      <c r="C71" s="150" t="s">
        <v>269</v>
      </c>
      <c r="D71" s="151" t="s">
        <v>269</v>
      </c>
      <c r="E71" s="4"/>
      <c r="F71" s="4"/>
      <c r="G71" s="4"/>
      <c r="H71" s="4"/>
      <c r="I71" s="4"/>
      <c r="J71" s="4"/>
      <c r="K71" s="4"/>
      <c r="L71" s="4"/>
      <c r="M71" s="5"/>
      <c r="N71" s="5"/>
      <c r="O71" s="5"/>
      <c r="P71" s="6"/>
      <c r="Q71" s="4"/>
      <c r="R71" s="4"/>
      <c r="S71" s="7"/>
      <c r="T71" s="7"/>
      <c r="U71" s="7"/>
      <c r="V71" s="4"/>
      <c r="W71" s="4"/>
      <c r="X71" s="4"/>
      <c r="Y71" s="4"/>
      <c r="Z71" s="4"/>
      <c r="AA71" s="144"/>
      <c r="AB71" s="144"/>
      <c r="AC71" s="144"/>
      <c r="AD71" s="144"/>
      <c r="AE71" s="144"/>
      <c r="AF71" s="144"/>
      <c r="AG71" s="144"/>
    </row>
    <row r="72" ht="15.75" customHeight="1">
      <c r="A72" s="148" t="s">
        <v>275</v>
      </c>
      <c r="B72" s="149" t="s">
        <v>268</v>
      </c>
      <c r="C72" s="150" t="s">
        <v>269</v>
      </c>
      <c r="D72" s="151" t="s">
        <v>269</v>
      </c>
      <c r="E72" s="4"/>
      <c r="F72" s="4"/>
      <c r="G72" s="4"/>
      <c r="H72" s="4"/>
      <c r="I72" s="4"/>
      <c r="J72" s="4"/>
      <c r="K72" s="4"/>
      <c r="L72" s="4"/>
      <c r="M72" s="5"/>
      <c r="N72" s="5"/>
      <c r="O72" s="5"/>
      <c r="P72" s="6"/>
      <c r="Q72" s="4"/>
      <c r="R72" s="4"/>
      <c r="S72" s="7"/>
      <c r="T72" s="7"/>
      <c r="U72" s="7"/>
      <c r="V72" s="4"/>
      <c r="W72" s="4"/>
      <c r="X72" s="4"/>
      <c r="Y72" s="4"/>
      <c r="Z72" s="4"/>
      <c r="AA72" s="144"/>
      <c r="AB72" s="144"/>
      <c r="AC72" s="144"/>
      <c r="AD72" s="144"/>
      <c r="AE72" s="144"/>
      <c r="AF72" s="144"/>
      <c r="AG72" s="144"/>
    </row>
    <row r="73" ht="15.75" customHeight="1">
      <c r="A73" s="148" t="s">
        <v>276</v>
      </c>
      <c r="B73" s="149" t="s">
        <v>268</v>
      </c>
      <c r="C73" s="150" t="s">
        <v>269</v>
      </c>
      <c r="D73" s="151" t="s">
        <v>269</v>
      </c>
      <c r="E73" s="4"/>
      <c r="F73" s="4"/>
      <c r="G73" s="4"/>
      <c r="H73" s="4"/>
      <c r="I73" s="4"/>
      <c r="J73" s="4"/>
      <c r="K73" s="4"/>
      <c r="L73" s="4"/>
      <c r="M73" s="5"/>
      <c r="N73" s="5"/>
      <c r="O73" s="5"/>
      <c r="P73" s="6"/>
      <c r="Q73" s="4"/>
      <c r="R73" s="4"/>
      <c r="S73" s="7"/>
      <c r="T73" s="7"/>
      <c r="U73" s="7"/>
      <c r="V73" s="4"/>
      <c r="W73" s="4"/>
      <c r="X73" s="4"/>
      <c r="Y73" s="4"/>
      <c r="Z73" s="4"/>
      <c r="AA73" s="144"/>
      <c r="AB73" s="144"/>
      <c r="AC73" s="144"/>
      <c r="AD73" s="144"/>
      <c r="AE73" s="144"/>
      <c r="AF73" s="144"/>
      <c r="AG73" s="144"/>
    </row>
    <row r="74" ht="15.75" customHeight="1">
      <c r="A74" s="148" t="s">
        <v>277</v>
      </c>
      <c r="B74" s="149" t="s">
        <v>268</v>
      </c>
      <c r="C74" s="150" t="s">
        <v>269</v>
      </c>
      <c r="D74" s="151" t="s">
        <v>269</v>
      </c>
      <c r="E74" s="4"/>
      <c r="F74" s="4"/>
      <c r="G74" s="4"/>
      <c r="H74" s="4"/>
      <c r="I74" s="4"/>
      <c r="J74" s="4"/>
      <c r="K74" s="4"/>
      <c r="L74" s="4"/>
      <c r="M74" s="5"/>
      <c r="N74" s="5"/>
      <c r="O74" s="5"/>
      <c r="P74" s="6"/>
      <c r="Q74" s="4"/>
      <c r="R74" s="4"/>
      <c r="S74" s="7"/>
      <c r="T74" s="7"/>
      <c r="U74" s="7"/>
      <c r="V74" s="4"/>
      <c r="W74" s="4"/>
      <c r="X74" s="4"/>
      <c r="Y74" s="4"/>
      <c r="Z74" s="4"/>
      <c r="AA74" s="144"/>
      <c r="AB74" s="144"/>
      <c r="AC74" s="144"/>
      <c r="AD74" s="144"/>
      <c r="AE74" s="144"/>
      <c r="AF74" s="144"/>
      <c r="AG74" s="144"/>
    </row>
    <row r="75" ht="15.75" customHeight="1">
      <c r="A75" s="148" t="s">
        <v>278</v>
      </c>
      <c r="B75" s="149" t="s">
        <v>268</v>
      </c>
      <c r="C75" s="150" t="s">
        <v>269</v>
      </c>
      <c r="D75" s="151" t="s">
        <v>269</v>
      </c>
      <c r="E75" s="4"/>
      <c r="F75" s="4"/>
      <c r="G75" s="4"/>
      <c r="H75" s="4"/>
      <c r="I75" s="4"/>
      <c r="J75" s="4"/>
      <c r="K75" s="4"/>
      <c r="L75" s="4"/>
      <c r="M75" s="5"/>
      <c r="N75" s="5"/>
      <c r="O75" s="5"/>
      <c r="P75" s="6"/>
      <c r="Q75" s="4"/>
      <c r="R75" s="4"/>
      <c r="S75" s="7"/>
      <c r="T75" s="7"/>
      <c r="U75" s="7"/>
      <c r="V75" s="4"/>
      <c r="W75" s="4"/>
      <c r="X75" s="4"/>
      <c r="Y75" s="4"/>
      <c r="Z75" s="4"/>
      <c r="AA75" s="144"/>
      <c r="AB75" s="144"/>
      <c r="AC75" s="144"/>
      <c r="AD75" s="144"/>
      <c r="AE75" s="144"/>
      <c r="AF75" s="144"/>
      <c r="AG75" s="144"/>
    </row>
    <row r="76" ht="15.75" customHeight="1">
      <c r="A76" s="148" t="s">
        <v>279</v>
      </c>
      <c r="B76" s="149" t="s">
        <v>268</v>
      </c>
      <c r="C76" s="150" t="s">
        <v>269</v>
      </c>
      <c r="D76" s="151" t="s">
        <v>269</v>
      </c>
      <c r="E76" s="4"/>
      <c r="F76" s="4"/>
      <c r="G76" s="4"/>
      <c r="H76" s="4"/>
      <c r="I76" s="4"/>
      <c r="J76" s="4"/>
      <c r="K76" s="4"/>
      <c r="L76" s="4"/>
      <c r="M76" s="5"/>
      <c r="N76" s="5"/>
      <c r="O76" s="5"/>
      <c r="P76" s="6"/>
      <c r="Q76" s="4"/>
      <c r="R76" s="4"/>
      <c r="S76" s="7"/>
      <c r="T76" s="7"/>
      <c r="U76" s="7"/>
      <c r="V76" s="4"/>
      <c r="W76" s="4"/>
      <c r="X76" s="4"/>
      <c r="Y76" s="4"/>
      <c r="Z76" s="4"/>
      <c r="AA76" s="144"/>
      <c r="AB76" s="144"/>
      <c r="AC76" s="144"/>
      <c r="AD76" s="144"/>
      <c r="AE76" s="144"/>
      <c r="AF76" s="144"/>
      <c r="AG76" s="144"/>
    </row>
    <row r="77" ht="15.75" customHeight="1">
      <c r="A77" s="148" t="s">
        <v>280</v>
      </c>
      <c r="B77" s="149" t="s">
        <v>24</v>
      </c>
      <c r="C77" s="150" t="s">
        <v>281</v>
      </c>
      <c r="D77" s="153" t="s">
        <v>75</v>
      </c>
      <c r="E77" s="4"/>
      <c r="F77" s="4"/>
      <c r="G77" s="4"/>
      <c r="H77" s="4"/>
      <c r="I77" s="4"/>
      <c r="J77" s="4"/>
      <c r="K77" s="4"/>
      <c r="L77" s="4"/>
      <c r="M77" s="5"/>
      <c r="N77" s="5"/>
      <c r="O77" s="5"/>
      <c r="P77" s="6"/>
      <c r="Q77" s="4"/>
      <c r="R77" s="4"/>
      <c r="S77" s="7"/>
      <c r="T77" s="7"/>
      <c r="U77" s="7"/>
      <c r="V77" s="4"/>
      <c r="W77" s="4"/>
      <c r="X77" s="4"/>
      <c r="Y77" s="4"/>
      <c r="Z77" s="4"/>
      <c r="AA77" s="144"/>
      <c r="AB77" s="144"/>
      <c r="AC77" s="144"/>
      <c r="AD77" s="144"/>
      <c r="AE77" s="144"/>
      <c r="AF77" s="144"/>
      <c r="AG77" s="144"/>
    </row>
    <row r="78" ht="15.75" customHeight="1">
      <c r="A78" s="148" t="s">
        <v>282</v>
      </c>
      <c r="B78" s="152" t="s">
        <v>273</v>
      </c>
      <c r="C78" s="150" t="s">
        <v>269</v>
      </c>
      <c r="D78" s="151" t="s">
        <v>269</v>
      </c>
      <c r="E78" s="4"/>
      <c r="F78" s="4"/>
      <c r="G78" s="4"/>
      <c r="H78" s="4"/>
      <c r="I78" s="4"/>
      <c r="J78" s="4"/>
      <c r="K78" s="4"/>
      <c r="L78" s="4"/>
      <c r="M78" s="5"/>
      <c r="N78" s="5"/>
      <c r="O78" s="5"/>
      <c r="P78" s="6"/>
      <c r="Q78" s="4"/>
      <c r="R78" s="4"/>
      <c r="S78" s="7"/>
      <c r="T78" s="7"/>
      <c r="U78" s="7"/>
      <c r="V78" s="4"/>
      <c r="W78" s="4"/>
      <c r="X78" s="4"/>
      <c r="Y78" s="4"/>
      <c r="Z78" s="4"/>
      <c r="AA78" s="144"/>
      <c r="AB78" s="144"/>
      <c r="AC78" s="144"/>
      <c r="AD78" s="144"/>
      <c r="AE78" s="144"/>
      <c r="AF78" s="144"/>
      <c r="AG78" s="144"/>
    </row>
    <row r="79" ht="15.75" customHeight="1">
      <c r="A79" s="148" t="s">
        <v>283</v>
      </c>
      <c r="B79" s="152" t="s">
        <v>273</v>
      </c>
      <c r="C79" s="150" t="s">
        <v>269</v>
      </c>
      <c r="D79" s="151" t="s">
        <v>269</v>
      </c>
      <c r="E79" s="4"/>
      <c r="F79" s="4"/>
      <c r="G79" s="4"/>
      <c r="H79" s="4"/>
      <c r="I79" s="4"/>
      <c r="J79" s="4"/>
      <c r="K79" s="4"/>
      <c r="L79" s="4"/>
      <c r="M79" s="5"/>
      <c r="N79" s="5"/>
      <c r="O79" s="5"/>
      <c r="P79" s="6"/>
      <c r="Q79" s="4"/>
      <c r="R79" s="4"/>
      <c r="S79" s="7"/>
      <c r="T79" s="7"/>
      <c r="U79" s="7"/>
      <c r="V79" s="4"/>
      <c r="W79" s="4"/>
      <c r="X79" s="4"/>
      <c r="Y79" s="4"/>
      <c r="Z79" s="4"/>
      <c r="AA79" s="144"/>
      <c r="AB79" s="144"/>
      <c r="AC79" s="144"/>
      <c r="AD79" s="144"/>
      <c r="AE79" s="144"/>
      <c r="AF79" s="144"/>
      <c r="AG79" s="144"/>
    </row>
    <row r="80" ht="15.75" customHeight="1">
      <c r="A80" s="148" t="s">
        <v>284</v>
      </c>
      <c r="B80" s="152" t="s">
        <v>273</v>
      </c>
      <c r="C80" s="150" t="s">
        <v>269</v>
      </c>
      <c r="D80" s="151" t="s">
        <v>269</v>
      </c>
      <c r="E80" s="4"/>
      <c r="F80" s="4"/>
      <c r="G80" s="4"/>
      <c r="H80" s="4"/>
      <c r="I80" s="4"/>
      <c r="J80" s="4"/>
      <c r="K80" s="4"/>
      <c r="L80" s="4"/>
      <c r="M80" s="5"/>
      <c r="N80" s="5"/>
      <c r="O80" s="5"/>
      <c r="P80" s="6"/>
      <c r="Q80" s="4"/>
      <c r="R80" s="4"/>
      <c r="S80" s="7"/>
      <c r="T80" s="7"/>
      <c r="U80" s="7"/>
      <c r="V80" s="4"/>
      <c r="W80" s="4"/>
      <c r="X80" s="4"/>
      <c r="Y80" s="4"/>
      <c r="Z80" s="4"/>
      <c r="AA80" s="144"/>
      <c r="AB80" s="144"/>
      <c r="AC80" s="144"/>
      <c r="AD80" s="144"/>
      <c r="AE80" s="144"/>
      <c r="AF80" s="144"/>
      <c r="AG80" s="144"/>
    </row>
    <row r="81" ht="15.75" customHeight="1">
      <c r="A81" s="148" t="s">
        <v>285</v>
      </c>
      <c r="B81" s="149" t="s">
        <v>24</v>
      </c>
      <c r="C81" s="150" t="s">
        <v>269</v>
      </c>
      <c r="D81" s="151" t="s">
        <v>269</v>
      </c>
      <c r="E81" s="4"/>
      <c r="F81" s="4"/>
      <c r="G81" s="4"/>
      <c r="H81" s="4"/>
      <c r="I81" s="4"/>
      <c r="J81" s="4"/>
      <c r="K81" s="4"/>
      <c r="L81" s="4"/>
      <c r="M81" s="5"/>
      <c r="N81" s="5"/>
      <c r="O81" s="5"/>
      <c r="P81" s="6"/>
      <c r="Q81" s="4"/>
      <c r="R81" s="4"/>
      <c r="S81" s="7"/>
      <c r="T81" s="7"/>
      <c r="U81" s="7"/>
      <c r="V81" s="4"/>
      <c r="W81" s="4"/>
      <c r="X81" s="4"/>
      <c r="Y81" s="4"/>
      <c r="Z81" s="4"/>
      <c r="AA81" s="144"/>
      <c r="AB81" s="144"/>
      <c r="AC81" s="144"/>
      <c r="AD81" s="144"/>
      <c r="AE81" s="144"/>
      <c r="AF81" s="144"/>
      <c r="AG81" s="144"/>
    </row>
    <row r="82" ht="15.75" customHeight="1">
      <c r="A82" s="148" t="s">
        <v>286</v>
      </c>
      <c r="B82" s="149" t="s">
        <v>24</v>
      </c>
      <c r="C82" s="150" t="s">
        <v>269</v>
      </c>
      <c r="D82" s="151" t="s">
        <v>269</v>
      </c>
      <c r="E82" s="4"/>
      <c r="F82" s="4"/>
      <c r="G82" s="4"/>
      <c r="H82" s="4"/>
      <c r="I82" s="4"/>
      <c r="J82" s="4"/>
      <c r="K82" s="4"/>
      <c r="L82" s="4"/>
      <c r="M82" s="5"/>
      <c r="N82" s="5"/>
      <c r="O82" s="5"/>
      <c r="P82" s="6"/>
      <c r="Q82" s="4"/>
      <c r="R82" s="4"/>
      <c r="S82" s="7"/>
      <c r="T82" s="7"/>
      <c r="U82" s="7"/>
      <c r="V82" s="4"/>
      <c r="W82" s="4"/>
      <c r="X82" s="4"/>
      <c r="Y82" s="4"/>
      <c r="Z82" s="4"/>
      <c r="AA82" s="144"/>
      <c r="AB82" s="144"/>
      <c r="AC82" s="144"/>
      <c r="AD82" s="144"/>
      <c r="AE82" s="144"/>
      <c r="AF82" s="144"/>
      <c r="AG82" s="144"/>
    </row>
    <row r="83" ht="15.75" customHeight="1">
      <c r="A83" s="148" t="s">
        <v>287</v>
      </c>
      <c r="B83" s="149" t="s">
        <v>268</v>
      </c>
      <c r="C83" s="150" t="s">
        <v>269</v>
      </c>
      <c r="D83" s="151" t="s">
        <v>269</v>
      </c>
      <c r="E83" s="4"/>
      <c r="F83" s="4"/>
      <c r="G83" s="4"/>
      <c r="H83" s="4"/>
      <c r="I83" s="4"/>
      <c r="J83" s="4"/>
      <c r="K83" s="4"/>
      <c r="L83" s="4"/>
      <c r="M83" s="5"/>
      <c r="N83" s="5"/>
      <c r="O83" s="5"/>
      <c r="P83" s="6"/>
      <c r="Q83" s="4"/>
      <c r="R83" s="4"/>
      <c r="S83" s="7"/>
      <c r="T83" s="7"/>
      <c r="U83" s="7"/>
      <c r="V83" s="4"/>
      <c r="W83" s="4"/>
      <c r="X83" s="4"/>
      <c r="Y83" s="4"/>
      <c r="Z83" s="4"/>
      <c r="AA83" s="144"/>
      <c r="AB83" s="144"/>
      <c r="AC83" s="144"/>
      <c r="AD83" s="144"/>
      <c r="AE83" s="144"/>
      <c r="AF83" s="144"/>
      <c r="AG83" s="144"/>
    </row>
    <row r="84" ht="15.75" customHeight="1">
      <c r="A84" s="148" t="s">
        <v>288</v>
      </c>
      <c r="B84" s="152" t="s">
        <v>289</v>
      </c>
      <c r="C84" s="150" t="s">
        <v>269</v>
      </c>
      <c r="D84" s="151" t="s">
        <v>269</v>
      </c>
      <c r="E84" s="4"/>
      <c r="F84" s="4"/>
      <c r="G84" s="4"/>
      <c r="H84" s="4"/>
      <c r="I84" s="4"/>
      <c r="J84" s="4"/>
      <c r="K84" s="4"/>
      <c r="L84" s="4"/>
      <c r="M84" s="5"/>
      <c r="N84" s="5"/>
      <c r="O84" s="5"/>
      <c r="P84" s="6"/>
      <c r="Q84" s="4"/>
      <c r="R84" s="4"/>
      <c r="S84" s="7"/>
      <c r="T84" s="7"/>
      <c r="U84" s="7"/>
      <c r="V84" s="4"/>
      <c r="W84" s="4"/>
      <c r="X84" s="4"/>
      <c r="Y84" s="4"/>
      <c r="Z84" s="4"/>
      <c r="AA84" s="144"/>
      <c r="AB84" s="144"/>
      <c r="AC84" s="144"/>
      <c r="AD84" s="144"/>
      <c r="AE84" s="144"/>
      <c r="AF84" s="144"/>
      <c r="AG84" s="144"/>
    </row>
    <row r="85" ht="15.75" customHeight="1">
      <c r="A85" s="148" t="s">
        <v>290</v>
      </c>
      <c r="B85" s="149" t="s">
        <v>24</v>
      </c>
      <c r="C85" s="150" t="s">
        <v>291</v>
      </c>
      <c r="D85" s="153" t="s">
        <v>75</v>
      </c>
      <c r="E85" s="4"/>
      <c r="F85" s="4"/>
      <c r="G85" s="4"/>
      <c r="H85" s="4"/>
      <c r="I85" s="4"/>
      <c r="J85" s="4"/>
      <c r="K85" s="4"/>
      <c r="L85" s="4"/>
      <c r="M85" s="5"/>
      <c r="N85" s="5"/>
      <c r="O85" s="5"/>
      <c r="P85" s="6"/>
      <c r="Q85" s="4"/>
      <c r="R85" s="4"/>
      <c r="S85" s="7"/>
      <c r="T85" s="7"/>
      <c r="U85" s="7"/>
      <c r="V85" s="4"/>
      <c r="W85" s="4"/>
      <c r="X85" s="4"/>
      <c r="Y85" s="4"/>
      <c r="Z85" s="4"/>
      <c r="AA85" s="144"/>
      <c r="AB85" s="144"/>
      <c r="AC85" s="144"/>
      <c r="AD85" s="144"/>
      <c r="AE85" s="144"/>
      <c r="AF85" s="144"/>
      <c r="AG85" s="144"/>
    </row>
    <row r="86" ht="15.75" customHeight="1">
      <c r="A86" s="148" t="s">
        <v>292</v>
      </c>
      <c r="B86" s="149" t="s">
        <v>24</v>
      </c>
      <c r="C86" s="150" t="s">
        <v>291</v>
      </c>
      <c r="D86" s="153" t="s">
        <v>208</v>
      </c>
      <c r="E86" s="4"/>
      <c r="F86" s="4"/>
      <c r="G86" s="4"/>
      <c r="H86" s="4"/>
      <c r="I86" s="4"/>
      <c r="J86" s="4"/>
      <c r="K86" s="4"/>
      <c r="L86" s="4"/>
      <c r="M86" s="5"/>
      <c r="N86" s="5"/>
      <c r="O86" s="5"/>
      <c r="P86" s="6"/>
      <c r="Q86" s="4"/>
      <c r="R86" s="4"/>
      <c r="S86" s="7"/>
      <c r="T86" s="7"/>
      <c r="U86" s="7"/>
      <c r="V86" s="4"/>
      <c r="W86" s="4"/>
      <c r="X86" s="4"/>
      <c r="Y86" s="4"/>
      <c r="Z86" s="4"/>
      <c r="AA86" s="144"/>
      <c r="AB86" s="144"/>
      <c r="AC86" s="144"/>
      <c r="AD86" s="144"/>
      <c r="AE86" s="144"/>
      <c r="AF86" s="144"/>
      <c r="AG86" s="144"/>
    </row>
    <row r="87" ht="15.75" customHeight="1">
      <c r="A87" s="148" t="s">
        <v>293</v>
      </c>
      <c r="B87" s="149" t="s">
        <v>24</v>
      </c>
      <c r="C87" s="150" t="s">
        <v>281</v>
      </c>
      <c r="D87" s="153" t="s">
        <v>171</v>
      </c>
      <c r="E87" s="4"/>
      <c r="F87" s="4"/>
      <c r="G87" s="4"/>
      <c r="H87" s="4"/>
      <c r="I87" s="4"/>
      <c r="J87" s="4"/>
      <c r="K87" s="4"/>
      <c r="L87" s="4"/>
      <c r="M87" s="5"/>
      <c r="N87" s="5"/>
      <c r="O87" s="5"/>
      <c r="P87" s="6"/>
      <c r="Q87" s="4"/>
      <c r="R87" s="4"/>
      <c r="S87" s="7"/>
      <c r="T87" s="7"/>
      <c r="U87" s="7"/>
      <c r="V87" s="4"/>
      <c r="W87" s="4"/>
      <c r="X87" s="4"/>
      <c r="Y87" s="4"/>
      <c r="Z87" s="4"/>
      <c r="AA87" s="144"/>
      <c r="AB87" s="144"/>
      <c r="AC87" s="144"/>
      <c r="AD87" s="144"/>
      <c r="AE87" s="144"/>
      <c r="AF87" s="144"/>
      <c r="AG87" s="144"/>
    </row>
    <row r="88" ht="15.75" customHeight="1">
      <c r="A88" s="148" t="s">
        <v>294</v>
      </c>
      <c r="B88" s="149" t="s">
        <v>24</v>
      </c>
      <c r="C88" s="150" t="s">
        <v>269</v>
      </c>
      <c r="D88" s="151" t="s">
        <v>269</v>
      </c>
      <c r="E88" s="4"/>
      <c r="F88" s="4"/>
      <c r="G88" s="4"/>
      <c r="H88" s="4"/>
      <c r="I88" s="4"/>
      <c r="J88" s="4"/>
      <c r="K88" s="4"/>
      <c r="L88" s="4"/>
      <c r="M88" s="5"/>
      <c r="N88" s="5"/>
      <c r="O88" s="5"/>
      <c r="P88" s="6"/>
      <c r="Q88" s="4"/>
      <c r="R88" s="4"/>
      <c r="S88" s="7"/>
      <c r="T88" s="7"/>
      <c r="U88" s="7"/>
      <c r="V88" s="4"/>
      <c r="W88" s="4"/>
      <c r="X88" s="4"/>
      <c r="Y88" s="4"/>
      <c r="Z88" s="4"/>
      <c r="AA88" s="144"/>
      <c r="AB88" s="144"/>
      <c r="AC88" s="144"/>
      <c r="AD88" s="144"/>
      <c r="AE88" s="144"/>
      <c r="AF88" s="144"/>
      <c r="AG88" s="144"/>
    </row>
    <row r="89">
      <c r="A89" s="148" t="s">
        <v>295</v>
      </c>
      <c r="B89" s="149" t="s">
        <v>58</v>
      </c>
      <c r="C89" s="149" t="s">
        <v>269</v>
      </c>
      <c r="D89" s="154" t="s">
        <v>123</v>
      </c>
      <c r="E89" s="4"/>
      <c r="F89" s="4"/>
      <c r="G89" s="150"/>
      <c r="H89" s="4"/>
      <c r="I89" s="4"/>
      <c r="J89" s="4"/>
      <c r="K89" s="4"/>
      <c r="L89" s="4"/>
      <c r="M89" s="5"/>
      <c r="N89" s="5"/>
      <c r="O89" s="5"/>
      <c r="P89" s="6"/>
      <c r="Q89" s="4"/>
      <c r="R89" s="4"/>
      <c r="S89" s="4"/>
      <c r="T89" s="7"/>
      <c r="U89" s="7"/>
      <c r="V89" s="7"/>
      <c r="W89" s="7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148" t="s">
        <v>296</v>
      </c>
      <c r="B90" s="149" t="s">
        <v>58</v>
      </c>
      <c r="C90" s="149" t="s">
        <v>269</v>
      </c>
      <c r="D90" s="154" t="s">
        <v>123</v>
      </c>
      <c r="E90" s="4"/>
      <c r="F90" s="4"/>
      <c r="G90" s="150"/>
      <c r="H90" s="4"/>
      <c r="I90" s="4"/>
      <c r="J90" s="4"/>
      <c r="K90" s="4"/>
      <c r="L90" s="4"/>
      <c r="M90" s="5"/>
      <c r="N90" s="5"/>
      <c r="O90" s="5"/>
      <c r="P90" s="6"/>
      <c r="Q90" s="4"/>
      <c r="R90" s="4"/>
      <c r="S90" s="4"/>
      <c r="T90" s="7"/>
      <c r="U90" s="7"/>
      <c r="V90" s="7"/>
      <c r="W90" s="7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148" t="s">
        <v>297</v>
      </c>
      <c r="B91" s="149" t="s">
        <v>59</v>
      </c>
      <c r="C91" s="149" t="s">
        <v>269</v>
      </c>
      <c r="D91" s="154" t="s">
        <v>298</v>
      </c>
      <c r="E91" s="4"/>
      <c r="F91" s="4"/>
      <c r="G91" s="150"/>
      <c r="H91" s="4"/>
      <c r="I91" s="4"/>
      <c r="J91" s="4"/>
      <c r="K91" s="4"/>
      <c r="L91" s="4"/>
      <c r="M91" s="5"/>
      <c r="N91" s="5"/>
      <c r="O91" s="5"/>
      <c r="P91" s="6"/>
      <c r="Q91" s="4"/>
      <c r="R91" s="4"/>
      <c r="S91" s="4"/>
      <c r="T91" s="7"/>
      <c r="U91" s="7"/>
      <c r="V91" s="7"/>
      <c r="W91" s="7"/>
      <c r="X91" s="4"/>
      <c r="Y91" s="4"/>
      <c r="Z91" s="4"/>
      <c r="AA91" s="4"/>
      <c r="AB91" s="4"/>
      <c r="AC91" s="4"/>
      <c r="AD91" s="4"/>
      <c r="AE91" s="4"/>
      <c r="AF91" s="4"/>
      <c r="AG91" s="4"/>
    </row>
  </sheetData>
  <autoFilter ref="$A$19:$AG$63"/>
  <mergeCells count="294">
    <mergeCell ref="P19:V19"/>
    <mergeCell ref="W19:Y19"/>
    <mergeCell ref="Z19:AD19"/>
    <mergeCell ref="AE19:AG19"/>
    <mergeCell ref="A3:A9"/>
    <mergeCell ref="R3:S3"/>
    <mergeCell ref="A10:A12"/>
    <mergeCell ref="E15:E17"/>
    <mergeCell ref="W15:W16"/>
    <mergeCell ref="Z15:Z16"/>
    <mergeCell ref="H19:O19"/>
    <mergeCell ref="E21:E23"/>
    <mergeCell ref="F21:F23"/>
    <mergeCell ref="G21:G23"/>
    <mergeCell ref="H21:H23"/>
    <mergeCell ref="I21:I23"/>
    <mergeCell ref="J21:J23"/>
    <mergeCell ref="J20:K20"/>
    <mergeCell ref="L20:M20"/>
    <mergeCell ref="N20:O20"/>
    <mergeCell ref="A21:A24"/>
    <mergeCell ref="B21:B24"/>
    <mergeCell ref="C21:C24"/>
    <mergeCell ref="D21:D24"/>
    <mergeCell ref="O21:O23"/>
    <mergeCell ref="AF21:AF23"/>
    <mergeCell ref="AG21:AG23"/>
    <mergeCell ref="K21:K23"/>
    <mergeCell ref="L21:L23"/>
    <mergeCell ref="AA21:AA23"/>
    <mergeCell ref="AB21:AB23"/>
    <mergeCell ref="AC21:AC23"/>
    <mergeCell ref="AD21:AD23"/>
    <mergeCell ref="AE21:AE23"/>
    <mergeCell ref="AD28:AD29"/>
    <mergeCell ref="AE28:AE29"/>
    <mergeCell ref="W28:W29"/>
    <mergeCell ref="X28:X29"/>
    <mergeCell ref="Y28:Y29"/>
    <mergeCell ref="Z28:Z29"/>
    <mergeCell ref="AA28:AA29"/>
    <mergeCell ref="AB28:AB29"/>
    <mergeCell ref="AC28:AC29"/>
    <mergeCell ref="M21:M23"/>
    <mergeCell ref="N21:N23"/>
    <mergeCell ref="T21:T23"/>
    <mergeCell ref="U21:U23"/>
    <mergeCell ref="V21:V23"/>
    <mergeCell ref="W21:W23"/>
    <mergeCell ref="X21:X23"/>
    <mergeCell ref="H25:H27"/>
    <mergeCell ref="I25:I27"/>
    <mergeCell ref="J25:J27"/>
    <mergeCell ref="K25:K27"/>
    <mergeCell ref="L25:L27"/>
    <mergeCell ref="M25:M27"/>
    <mergeCell ref="N25:N27"/>
    <mergeCell ref="O25:O27"/>
    <mergeCell ref="AB25:AB27"/>
    <mergeCell ref="AC25:AC27"/>
    <mergeCell ref="AD25:AD27"/>
    <mergeCell ref="AE25:AE27"/>
    <mergeCell ref="AF25:AF27"/>
    <mergeCell ref="AG25:AG27"/>
    <mergeCell ref="AF28:AF29"/>
    <mergeCell ref="AG28:AG29"/>
    <mergeCell ref="A25:A27"/>
    <mergeCell ref="B25:B27"/>
    <mergeCell ref="C25:C27"/>
    <mergeCell ref="D25:D27"/>
    <mergeCell ref="E25:E27"/>
    <mergeCell ref="F25:F27"/>
    <mergeCell ref="G25:G27"/>
    <mergeCell ref="H28:H29"/>
    <mergeCell ref="I28:I29"/>
    <mergeCell ref="J28:J29"/>
    <mergeCell ref="K28:K29"/>
    <mergeCell ref="L28:L29"/>
    <mergeCell ref="M28:M29"/>
    <mergeCell ref="N28:N29"/>
    <mergeCell ref="O28:O29"/>
    <mergeCell ref="Y21:Y23"/>
    <mergeCell ref="Z21:Z23"/>
    <mergeCell ref="Y24:Y26"/>
    <mergeCell ref="W25:W27"/>
    <mergeCell ref="X25:X27"/>
    <mergeCell ref="Z25:Z27"/>
    <mergeCell ref="AA25:AA27"/>
    <mergeCell ref="A28:A29"/>
    <mergeCell ref="B28:B29"/>
    <mergeCell ref="C28:C29"/>
    <mergeCell ref="D28:D29"/>
    <mergeCell ref="E28:E29"/>
    <mergeCell ref="F28:F29"/>
    <mergeCell ref="G28:G29"/>
    <mergeCell ref="H30:H31"/>
    <mergeCell ref="I30:I31"/>
    <mergeCell ref="J30:J31"/>
    <mergeCell ref="K30:K31"/>
    <mergeCell ref="L30:L31"/>
    <mergeCell ref="M30:M31"/>
    <mergeCell ref="N30:N31"/>
    <mergeCell ref="AC30:AC31"/>
    <mergeCell ref="AD30:AD31"/>
    <mergeCell ref="AE30:AE31"/>
    <mergeCell ref="AF30:AF31"/>
    <mergeCell ref="AG30:AG31"/>
    <mergeCell ref="O30:O31"/>
    <mergeCell ref="W30:W31"/>
    <mergeCell ref="X30:X31"/>
    <mergeCell ref="Y30:Y31"/>
    <mergeCell ref="Z30:Z31"/>
    <mergeCell ref="AA30:AA31"/>
    <mergeCell ref="AB30:AB31"/>
    <mergeCell ref="A30:A31"/>
    <mergeCell ref="B30:B31"/>
    <mergeCell ref="C30:C31"/>
    <mergeCell ref="D30:D31"/>
    <mergeCell ref="E30:E31"/>
    <mergeCell ref="F30:F31"/>
    <mergeCell ref="G30:G31"/>
    <mergeCell ref="H32:H35"/>
    <mergeCell ref="I32:I35"/>
    <mergeCell ref="J32:J35"/>
    <mergeCell ref="K32:K35"/>
    <mergeCell ref="L32:L35"/>
    <mergeCell ref="M32:M35"/>
    <mergeCell ref="N32:N35"/>
    <mergeCell ref="AC32:AC35"/>
    <mergeCell ref="AD32:AD35"/>
    <mergeCell ref="AE32:AE35"/>
    <mergeCell ref="AF32:AF35"/>
    <mergeCell ref="AG32:AG35"/>
    <mergeCell ref="O32:O35"/>
    <mergeCell ref="W32:W35"/>
    <mergeCell ref="X32:X35"/>
    <mergeCell ref="Y32:Y35"/>
    <mergeCell ref="Z32:Z35"/>
    <mergeCell ref="AA32:AA35"/>
    <mergeCell ref="AB32:AB35"/>
    <mergeCell ref="U44:U45"/>
    <mergeCell ref="V44:V45"/>
    <mergeCell ref="W44:W45"/>
    <mergeCell ref="X44:X45"/>
    <mergeCell ref="Y44:Y45"/>
    <mergeCell ref="Z44:Z45"/>
    <mergeCell ref="AA44:AA45"/>
    <mergeCell ref="Z55:Z56"/>
    <mergeCell ref="AA55:AA56"/>
    <mergeCell ref="AB55:AB56"/>
    <mergeCell ref="AC55:AC56"/>
    <mergeCell ref="AD55:AD56"/>
    <mergeCell ref="AE55:AE56"/>
    <mergeCell ref="AF55:AF56"/>
    <mergeCell ref="AG55:AG56"/>
    <mergeCell ref="AB44:AB45"/>
    <mergeCell ref="AC44:AC45"/>
    <mergeCell ref="Y49:Y50"/>
    <mergeCell ref="Y51:Y52"/>
    <mergeCell ref="W55:W56"/>
    <mergeCell ref="X55:X56"/>
    <mergeCell ref="Y55:Y56"/>
    <mergeCell ref="AD57:AD59"/>
    <mergeCell ref="AE57:AE59"/>
    <mergeCell ref="AF57:AF59"/>
    <mergeCell ref="AG57:AG59"/>
    <mergeCell ref="W57:W59"/>
    <mergeCell ref="X57:X59"/>
    <mergeCell ref="Y57:Y59"/>
    <mergeCell ref="Z57:Z59"/>
    <mergeCell ref="AA57:AA59"/>
    <mergeCell ref="AB57:AB59"/>
    <mergeCell ref="AC57:AC59"/>
    <mergeCell ref="AD60:AD63"/>
    <mergeCell ref="AE60:AE63"/>
    <mergeCell ref="AF60:AF63"/>
    <mergeCell ref="AG60:AG63"/>
    <mergeCell ref="W60:W63"/>
    <mergeCell ref="X60:X63"/>
    <mergeCell ref="Y60:Y63"/>
    <mergeCell ref="Z60:Z63"/>
    <mergeCell ref="AA60:AA63"/>
    <mergeCell ref="AB60:AB63"/>
    <mergeCell ref="AC60:AC63"/>
    <mergeCell ref="A32:A35"/>
    <mergeCell ref="B32:B35"/>
    <mergeCell ref="C32:C39"/>
    <mergeCell ref="D32:D39"/>
    <mergeCell ref="E32:E35"/>
    <mergeCell ref="F32:F35"/>
    <mergeCell ref="G32:G35"/>
    <mergeCell ref="G36:G39"/>
    <mergeCell ref="H36:H39"/>
    <mergeCell ref="I36:I39"/>
    <mergeCell ref="J36:J39"/>
    <mergeCell ref="K36:K39"/>
    <mergeCell ref="L36:L39"/>
    <mergeCell ref="M36:M39"/>
    <mergeCell ref="AB36:AB39"/>
    <mergeCell ref="AC36:AC39"/>
    <mergeCell ref="AD36:AD39"/>
    <mergeCell ref="AE36:AE39"/>
    <mergeCell ref="AF36:AF39"/>
    <mergeCell ref="AG36:AG39"/>
    <mergeCell ref="N36:N39"/>
    <mergeCell ref="O36:O39"/>
    <mergeCell ref="W36:W39"/>
    <mergeCell ref="X36:X39"/>
    <mergeCell ref="Y36:Y39"/>
    <mergeCell ref="Z36:Z39"/>
    <mergeCell ref="AA36:AA39"/>
    <mergeCell ref="E36:E39"/>
    <mergeCell ref="F36:F39"/>
    <mergeCell ref="E44:E45"/>
    <mergeCell ref="F44:F45"/>
    <mergeCell ref="G44:G45"/>
    <mergeCell ref="H44:H45"/>
    <mergeCell ref="I44:I45"/>
    <mergeCell ref="AD44:AD45"/>
    <mergeCell ref="AE44:AE45"/>
    <mergeCell ref="AF44:AF45"/>
    <mergeCell ref="AG44:AG45"/>
    <mergeCell ref="J44:J45"/>
    <mergeCell ref="K44:K45"/>
    <mergeCell ref="L44:L45"/>
    <mergeCell ref="M44:M45"/>
    <mergeCell ref="N44:N45"/>
    <mergeCell ref="O44:O45"/>
    <mergeCell ref="T44:T45"/>
    <mergeCell ref="J57:J59"/>
    <mergeCell ref="K57:K59"/>
    <mergeCell ref="L57:L59"/>
    <mergeCell ref="M57:M59"/>
    <mergeCell ref="N57:N59"/>
    <mergeCell ref="O57:O59"/>
    <mergeCell ref="A57:A59"/>
    <mergeCell ref="B57:B59"/>
    <mergeCell ref="E57:E59"/>
    <mergeCell ref="F57:F59"/>
    <mergeCell ref="G57:G59"/>
    <mergeCell ref="H57:H59"/>
    <mergeCell ref="I57:I59"/>
    <mergeCell ref="C43:C48"/>
    <mergeCell ref="C49:C51"/>
    <mergeCell ref="D49:D51"/>
    <mergeCell ref="C53:C63"/>
    <mergeCell ref="D53:D63"/>
    <mergeCell ref="A36:A39"/>
    <mergeCell ref="B36:B39"/>
    <mergeCell ref="C40:C41"/>
    <mergeCell ref="D40:D41"/>
    <mergeCell ref="D43:D48"/>
    <mergeCell ref="A44:A45"/>
    <mergeCell ref="B44:B45"/>
    <mergeCell ref="J53:J54"/>
    <mergeCell ref="K53:K54"/>
    <mergeCell ref="L53:L54"/>
    <mergeCell ref="M53:M54"/>
    <mergeCell ref="N53:N54"/>
    <mergeCell ref="O53:O54"/>
    <mergeCell ref="A53:A54"/>
    <mergeCell ref="B53:B54"/>
    <mergeCell ref="E53:E54"/>
    <mergeCell ref="F53:F54"/>
    <mergeCell ref="G53:G54"/>
    <mergeCell ref="H53:H54"/>
    <mergeCell ref="I53:I54"/>
    <mergeCell ref="J55:J56"/>
    <mergeCell ref="K55:K56"/>
    <mergeCell ref="L55:L56"/>
    <mergeCell ref="M55:M56"/>
    <mergeCell ref="N55:N56"/>
    <mergeCell ref="O55:O56"/>
    <mergeCell ref="A55:A56"/>
    <mergeCell ref="B55:B56"/>
    <mergeCell ref="E55:E56"/>
    <mergeCell ref="F55:F56"/>
    <mergeCell ref="G55:G56"/>
    <mergeCell ref="H55:H56"/>
    <mergeCell ref="I55:I56"/>
    <mergeCell ref="J60:J63"/>
    <mergeCell ref="K60:K63"/>
    <mergeCell ref="L60:L63"/>
    <mergeCell ref="M60:M63"/>
    <mergeCell ref="N60:N63"/>
    <mergeCell ref="O60:O63"/>
    <mergeCell ref="A60:A63"/>
    <mergeCell ref="B60:B63"/>
    <mergeCell ref="E60:E63"/>
    <mergeCell ref="F60:F63"/>
    <mergeCell ref="G60:G63"/>
    <mergeCell ref="H60:H63"/>
    <mergeCell ref="I60:I63"/>
    <mergeCell ref="A65:E65"/>
  </mergeCells>
  <conditionalFormatting sqref="F21:O63">
    <cfRule type="expression" dxfId="0" priority="1">
      <formula>AND(ISNUMBER(F21),TRUNC(F21)&lt;TODAY())</formula>
    </cfRule>
  </conditionalFormatting>
  <conditionalFormatting sqref="F21:O63">
    <cfRule type="expression" dxfId="1" priority="2">
      <formula>F21&gt;46173.0</formula>
    </cfRule>
  </conditionalFormatting>
  <conditionalFormatting sqref="F21:O63">
    <cfRule type="expression" dxfId="2" priority="3">
      <formula>F21&lt;46174.0</formula>
    </cfRule>
  </conditionalFormatting>
  <dataValidations>
    <dataValidation type="list" allowBlank="1" showErrorMessage="1" sqref="H21 H24:H25 H28 H30 H32 H36 H40:H44 H46:H53 H55 H57 H60">
      <formula1>"Go Live (Onda 1),Desenvolvimento,Acessos,Go Live (Onda 2),Teste Interno"</formula1>
    </dataValidation>
  </dataValidations>
  <hyperlinks>
    <hyperlink r:id="rId4" ref="W21"/>
    <hyperlink r:id="rId5" ref="X21"/>
    <hyperlink r:id="rId6" ref="Y21"/>
    <hyperlink r:id="rId7" ref="W24"/>
    <hyperlink r:id="rId8" ref="X24"/>
    <hyperlink r:id="rId9" ref="Y24"/>
    <hyperlink r:id="rId10" ref="W25"/>
    <hyperlink r:id="rId11" ref="X25"/>
    <hyperlink r:id="rId12" ref="W28"/>
    <hyperlink r:id="rId13" ref="X28"/>
    <hyperlink r:id="rId14" ref="Y28"/>
    <hyperlink r:id="rId15" ref="W30"/>
    <hyperlink r:id="rId16" ref="X30"/>
    <hyperlink r:id="rId17" ref="Y30"/>
    <hyperlink r:id="rId18" ref="W32"/>
    <hyperlink r:id="rId19" ref="X32"/>
    <hyperlink r:id="rId20" ref="Y32"/>
    <hyperlink r:id="rId21" ref="W36"/>
    <hyperlink r:id="rId22" ref="X36"/>
    <hyperlink r:id="rId23" ref="Y36"/>
    <hyperlink r:id="rId24" ref="W40"/>
    <hyperlink r:id="rId25" ref="X40"/>
    <hyperlink r:id="rId26" ref="Y40"/>
    <hyperlink r:id="rId27" ref="W41"/>
    <hyperlink r:id="rId28" ref="X41"/>
    <hyperlink r:id="rId29" ref="Y41"/>
    <hyperlink r:id="rId30" ref="W42"/>
    <hyperlink r:id="rId31" ref="X42"/>
    <hyperlink r:id="rId32" ref="Y42"/>
    <hyperlink r:id="rId33" ref="W43"/>
    <hyperlink r:id="rId34" ref="X43"/>
    <hyperlink r:id="rId35" ref="Y43"/>
    <hyperlink r:id="rId36" ref="W44"/>
    <hyperlink r:id="rId37" ref="X44"/>
    <hyperlink r:id="rId38" ref="Y44"/>
    <hyperlink r:id="rId39" ref="W46"/>
    <hyperlink r:id="rId40" ref="X46"/>
    <hyperlink r:id="rId41" ref="Y46"/>
    <hyperlink r:id="rId42" ref="W47"/>
    <hyperlink r:id="rId43" ref="X47"/>
    <hyperlink r:id="rId44" ref="Y47"/>
    <hyperlink r:id="rId45" ref="W48"/>
    <hyperlink r:id="rId46" ref="X48"/>
    <hyperlink r:id="rId47" ref="Y48"/>
    <hyperlink r:id="rId48" ref="W49"/>
    <hyperlink r:id="rId49" ref="X49"/>
    <hyperlink r:id="rId50" ref="Y49"/>
    <hyperlink r:id="rId51" ref="W50"/>
    <hyperlink r:id="rId52" ref="X50"/>
    <hyperlink r:id="rId53" ref="W51"/>
    <hyperlink r:id="rId54" ref="X51"/>
    <hyperlink r:id="rId55" ref="Y51"/>
    <hyperlink r:id="rId56" ref="W52"/>
    <hyperlink r:id="rId57" ref="X52"/>
    <hyperlink r:id="rId58" ref="W53"/>
    <hyperlink r:id="rId59" ref="X53"/>
    <hyperlink r:id="rId60" ref="Y53"/>
    <hyperlink r:id="rId61" ref="W55"/>
    <hyperlink r:id="rId62" ref="X55"/>
    <hyperlink r:id="rId63" ref="Y55"/>
    <hyperlink r:id="rId64" ref="W57"/>
    <hyperlink r:id="rId65" ref="X57"/>
    <hyperlink r:id="rId66" ref="Y57"/>
    <hyperlink r:id="rId67" ref="W60"/>
    <hyperlink r:id="rId68" ref="X60"/>
    <hyperlink r:id="rId69" ref="Y60"/>
    <hyperlink r:id="rId70" ref="B70"/>
    <hyperlink r:id="rId71" ref="D77"/>
    <hyperlink r:id="rId72" ref="B78"/>
    <hyperlink r:id="rId73" ref="B79"/>
    <hyperlink r:id="rId74" ref="B80"/>
    <hyperlink r:id="rId75" ref="B84"/>
    <hyperlink r:id="rId76" ref="D85"/>
    <hyperlink r:id="rId77" ref="D86"/>
    <hyperlink r:id="rId78" ref="D87"/>
    <hyperlink r:id="rId79" ref="D89"/>
    <hyperlink r:id="rId80" ref="D90"/>
    <hyperlink r:id="rId81" ref="D91"/>
  </hyperlinks>
  <drawing r:id="rId82"/>
  <legacy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1.5"/>
    <col customWidth="1" min="2" max="2" width="22.5"/>
    <col customWidth="1" min="3" max="3" width="22.63"/>
    <col customWidth="1" min="4" max="4" width="16.13"/>
    <col customWidth="1" min="5" max="5" width="9.38"/>
    <col collapsed="1" customWidth="1" min="6" max="6" width="11.13"/>
    <col customWidth="1" hidden="1" min="7" max="28" width="5.13" outlineLevel="1"/>
    <col customWidth="1" hidden="1" min="29" max="29" width="4.0" outlineLevel="1"/>
    <col customWidth="1" hidden="1" min="30" max="38" width="5.13" outlineLevel="1"/>
    <col customWidth="1" min="39" max="39" width="5.13"/>
  </cols>
  <sheetData>
    <row r="1" ht="39.75" customHeight="1">
      <c r="A1" s="155" t="s">
        <v>299</v>
      </c>
      <c r="B1" s="23"/>
      <c r="C1" s="156"/>
      <c r="D1" s="156"/>
      <c r="E1" s="156"/>
      <c r="F1" s="157"/>
      <c r="G1" s="158" t="s">
        <v>300</v>
      </c>
      <c r="H1" s="23"/>
      <c r="I1" s="158" t="s">
        <v>301</v>
      </c>
      <c r="J1" s="60"/>
      <c r="K1" s="60"/>
      <c r="L1" s="23"/>
      <c r="M1" s="158" t="s">
        <v>302</v>
      </c>
      <c r="N1" s="60"/>
      <c r="O1" s="60"/>
      <c r="P1" s="60"/>
      <c r="Q1" s="23"/>
      <c r="R1" s="158" t="s">
        <v>303</v>
      </c>
      <c r="S1" s="60"/>
      <c r="T1" s="60"/>
      <c r="U1" s="23"/>
      <c r="V1" s="158" t="s">
        <v>304</v>
      </c>
      <c r="W1" s="60"/>
      <c r="X1" s="23"/>
      <c r="Y1" s="158" t="s">
        <v>305</v>
      </c>
      <c r="Z1" s="60"/>
      <c r="AA1" s="23"/>
      <c r="AB1" s="158" t="s">
        <v>306</v>
      </c>
      <c r="AC1" s="60"/>
      <c r="AD1" s="23"/>
      <c r="AE1" s="159" t="s">
        <v>306</v>
      </c>
      <c r="AF1" s="158" t="s">
        <v>307</v>
      </c>
      <c r="AG1" s="60"/>
      <c r="AH1" s="23"/>
      <c r="AI1" s="158" t="s">
        <v>5</v>
      </c>
      <c r="AJ1" s="60"/>
      <c r="AK1" s="23"/>
      <c r="AL1" s="160" t="s">
        <v>6</v>
      </c>
      <c r="AM1" s="160"/>
    </row>
    <row r="2" ht="22.5" customHeight="1">
      <c r="A2" s="161" t="s">
        <v>308</v>
      </c>
      <c r="B2" s="162" t="s">
        <v>264</v>
      </c>
      <c r="C2" s="162" t="s">
        <v>54</v>
      </c>
      <c r="D2" s="162" t="s">
        <v>36</v>
      </c>
      <c r="E2" s="162" t="s">
        <v>309</v>
      </c>
      <c r="F2" s="162" t="s">
        <v>310</v>
      </c>
      <c r="G2" s="163" t="s">
        <v>311</v>
      </c>
      <c r="H2" s="163" t="s">
        <v>312</v>
      </c>
      <c r="I2" s="164" t="s">
        <v>313</v>
      </c>
      <c r="J2" s="164" t="s">
        <v>314</v>
      </c>
      <c r="K2" s="164" t="s">
        <v>311</v>
      </c>
      <c r="L2" s="164" t="s">
        <v>312</v>
      </c>
      <c r="M2" s="164" t="s">
        <v>313</v>
      </c>
      <c r="N2" s="164" t="s">
        <v>314</v>
      </c>
      <c r="O2" s="164" t="s">
        <v>311</v>
      </c>
      <c r="P2" s="164" t="s">
        <v>312</v>
      </c>
      <c r="Q2" s="165" t="s">
        <v>315</v>
      </c>
      <c r="R2" s="164" t="s">
        <v>313</v>
      </c>
      <c r="S2" s="164" t="s">
        <v>314</v>
      </c>
      <c r="T2" s="164" t="s">
        <v>311</v>
      </c>
      <c r="U2" s="164" t="s">
        <v>312</v>
      </c>
      <c r="V2" s="164" t="s">
        <v>313</v>
      </c>
      <c r="W2" s="164" t="s">
        <v>314</v>
      </c>
      <c r="X2" s="165" t="s">
        <v>311</v>
      </c>
      <c r="Y2" s="164" t="s">
        <v>314</v>
      </c>
      <c r="Z2" s="165" t="s">
        <v>311</v>
      </c>
      <c r="AA2" s="165" t="s">
        <v>312</v>
      </c>
      <c r="AB2" s="165" t="s">
        <v>313</v>
      </c>
      <c r="AC2" s="165" t="s">
        <v>314</v>
      </c>
      <c r="AD2" s="165" t="s">
        <v>311</v>
      </c>
      <c r="AE2" s="165" t="s">
        <v>312</v>
      </c>
      <c r="AF2" s="165" t="s">
        <v>313</v>
      </c>
      <c r="AG2" s="165" t="s">
        <v>314</v>
      </c>
      <c r="AH2" s="165" t="s">
        <v>311</v>
      </c>
      <c r="AI2" s="165" t="s">
        <v>313</v>
      </c>
      <c r="AJ2" s="165" t="s">
        <v>314</v>
      </c>
      <c r="AK2" s="165" t="s">
        <v>312</v>
      </c>
      <c r="AL2" s="165" t="s">
        <v>313</v>
      </c>
      <c r="AM2" s="165" t="s">
        <v>314</v>
      </c>
    </row>
    <row r="3" hidden="1">
      <c r="A3" s="166" t="s">
        <v>316</v>
      </c>
      <c r="B3" s="167" t="s">
        <v>317</v>
      </c>
      <c r="C3" s="167" t="s">
        <v>318</v>
      </c>
      <c r="D3" s="167"/>
      <c r="E3" s="167" t="s">
        <v>319</v>
      </c>
      <c r="F3" s="167" t="s">
        <v>320</v>
      </c>
      <c r="G3" s="168"/>
      <c r="H3" s="168"/>
      <c r="I3" s="169" t="s">
        <v>321</v>
      </c>
      <c r="J3" s="169" t="s">
        <v>321</v>
      </c>
      <c r="K3" s="169" t="s">
        <v>321</v>
      </c>
      <c r="L3" s="169" t="s">
        <v>321</v>
      </c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1"/>
      <c r="AM3" s="171"/>
    </row>
    <row r="4" hidden="1">
      <c r="A4" s="166" t="s">
        <v>316</v>
      </c>
      <c r="B4" s="166" t="s">
        <v>322</v>
      </c>
      <c r="C4" s="167" t="s">
        <v>323</v>
      </c>
      <c r="D4" s="167"/>
      <c r="E4" s="167" t="s">
        <v>319</v>
      </c>
      <c r="F4" s="167" t="s">
        <v>324</v>
      </c>
      <c r="G4" s="169" t="s">
        <v>321</v>
      </c>
      <c r="H4" s="169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1"/>
      <c r="AM4" s="171"/>
    </row>
    <row r="5" hidden="1">
      <c r="A5" s="166" t="s">
        <v>316</v>
      </c>
      <c r="B5" s="166" t="s">
        <v>325</v>
      </c>
      <c r="C5" s="167" t="s">
        <v>323</v>
      </c>
      <c r="D5" s="167"/>
      <c r="E5" s="167" t="s">
        <v>319</v>
      </c>
      <c r="F5" s="167" t="s">
        <v>326</v>
      </c>
      <c r="G5" s="169"/>
      <c r="H5" s="169" t="s">
        <v>321</v>
      </c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1"/>
      <c r="AM5" s="171"/>
    </row>
    <row r="6" hidden="1">
      <c r="A6" s="166" t="s">
        <v>316</v>
      </c>
      <c r="B6" s="167" t="s">
        <v>327</v>
      </c>
      <c r="C6" s="167" t="s">
        <v>323</v>
      </c>
      <c r="D6" s="167"/>
      <c r="E6" s="167" t="s">
        <v>319</v>
      </c>
      <c r="F6" s="167" t="s">
        <v>324</v>
      </c>
      <c r="G6" s="172"/>
      <c r="H6" s="169"/>
      <c r="I6" s="169" t="s">
        <v>321</v>
      </c>
      <c r="J6" s="169"/>
      <c r="K6" s="169"/>
      <c r="L6" s="169"/>
      <c r="M6" s="169"/>
      <c r="N6" s="169"/>
      <c r="O6" s="169"/>
      <c r="P6" s="169"/>
      <c r="Q6" s="169"/>
      <c r="R6" s="169"/>
      <c r="S6" s="172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1"/>
      <c r="AM6" s="171"/>
    </row>
    <row r="7" hidden="1">
      <c r="A7" s="166" t="s">
        <v>316</v>
      </c>
      <c r="B7" s="167" t="s">
        <v>328</v>
      </c>
      <c r="C7" s="167" t="s">
        <v>323</v>
      </c>
      <c r="D7" s="167"/>
      <c r="E7" s="167" t="s">
        <v>319</v>
      </c>
      <c r="F7" s="167" t="s">
        <v>326</v>
      </c>
      <c r="G7" s="168"/>
      <c r="H7" s="168"/>
      <c r="I7" s="169" t="s">
        <v>321</v>
      </c>
      <c r="J7" s="169"/>
      <c r="K7" s="169"/>
      <c r="L7" s="169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1"/>
      <c r="AM7" s="171"/>
    </row>
    <row r="8" hidden="1">
      <c r="A8" s="166" t="s">
        <v>316</v>
      </c>
      <c r="B8" s="167" t="s">
        <v>329</v>
      </c>
      <c r="C8" s="167" t="s">
        <v>323</v>
      </c>
      <c r="D8" s="167"/>
      <c r="E8" s="167" t="s">
        <v>319</v>
      </c>
      <c r="F8" s="167" t="s">
        <v>326</v>
      </c>
      <c r="G8" s="168"/>
      <c r="H8" s="168"/>
      <c r="I8" s="169" t="s">
        <v>321</v>
      </c>
      <c r="J8" s="169"/>
      <c r="K8" s="169"/>
      <c r="L8" s="169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1"/>
      <c r="AM8" s="171"/>
    </row>
    <row r="9" hidden="1">
      <c r="A9" s="166" t="s">
        <v>316</v>
      </c>
      <c r="B9" s="167" t="s">
        <v>330</v>
      </c>
      <c r="C9" s="167" t="s">
        <v>323</v>
      </c>
      <c r="D9" s="167"/>
      <c r="E9" s="167" t="s">
        <v>319</v>
      </c>
      <c r="F9" s="167" t="s">
        <v>320</v>
      </c>
      <c r="G9" s="168"/>
      <c r="H9" s="168"/>
      <c r="I9" s="169"/>
      <c r="J9" s="169" t="s">
        <v>321</v>
      </c>
      <c r="K9" s="169" t="s">
        <v>321</v>
      </c>
      <c r="L9" s="169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71"/>
    </row>
    <row r="10" hidden="1">
      <c r="A10" s="166" t="s">
        <v>331</v>
      </c>
      <c r="B10" s="167" t="s">
        <v>332</v>
      </c>
      <c r="C10" s="167" t="s">
        <v>333</v>
      </c>
      <c r="D10" s="167"/>
      <c r="E10" s="167" t="s">
        <v>319</v>
      </c>
      <c r="F10" s="167" t="s">
        <v>326</v>
      </c>
      <c r="G10" s="173"/>
      <c r="H10" s="168"/>
      <c r="I10" s="173"/>
      <c r="J10" s="173"/>
      <c r="K10" s="173"/>
      <c r="L10" s="169" t="s">
        <v>321</v>
      </c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1"/>
      <c r="AM10" s="171"/>
    </row>
    <row r="11" hidden="1">
      <c r="A11" s="166" t="s">
        <v>331</v>
      </c>
      <c r="B11" s="167" t="s">
        <v>334</v>
      </c>
      <c r="C11" s="167" t="s">
        <v>333</v>
      </c>
      <c r="D11" s="167"/>
      <c r="E11" s="167" t="s">
        <v>319</v>
      </c>
      <c r="F11" s="167" t="s">
        <v>326</v>
      </c>
      <c r="G11" s="173"/>
      <c r="H11" s="168"/>
      <c r="I11" s="173"/>
      <c r="J11" s="173"/>
      <c r="K11" s="173"/>
      <c r="L11" s="174" t="s">
        <v>321</v>
      </c>
      <c r="M11" s="174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1"/>
      <c r="AM11" s="171"/>
    </row>
    <row r="12" hidden="1">
      <c r="A12" s="166" t="s">
        <v>331</v>
      </c>
      <c r="B12" s="167" t="s">
        <v>335</v>
      </c>
      <c r="C12" s="167" t="s">
        <v>323</v>
      </c>
      <c r="D12" s="167"/>
      <c r="E12" s="167" t="s">
        <v>319</v>
      </c>
      <c r="F12" s="167" t="s">
        <v>324</v>
      </c>
      <c r="G12" s="172"/>
      <c r="H12" s="169"/>
      <c r="I12" s="169"/>
      <c r="J12" s="169"/>
      <c r="K12" s="169" t="s">
        <v>321</v>
      </c>
      <c r="L12" s="169" t="s">
        <v>321</v>
      </c>
      <c r="M12" s="169" t="s">
        <v>321</v>
      </c>
      <c r="N12" s="169"/>
      <c r="O12" s="169"/>
      <c r="P12" s="169"/>
      <c r="Q12" s="169"/>
      <c r="R12" s="172"/>
      <c r="S12" s="172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1"/>
      <c r="AM12" s="171"/>
    </row>
    <row r="13" hidden="1">
      <c r="A13" s="175" t="s">
        <v>58</v>
      </c>
      <c r="B13" s="176" t="s">
        <v>336</v>
      </c>
      <c r="C13" s="177" t="s">
        <v>159</v>
      </c>
      <c r="D13" s="176"/>
      <c r="E13" s="176" t="s">
        <v>319</v>
      </c>
      <c r="F13" s="176" t="s">
        <v>326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74"/>
      <c r="U13" s="174"/>
      <c r="V13" s="174"/>
      <c r="W13" s="170"/>
      <c r="X13" s="170"/>
      <c r="Y13" s="174"/>
      <c r="Z13" s="174"/>
      <c r="AA13" s="174"/>
      <c r="AB13" s="174" t="s">
        <v>321</v>
      </c>
      <c r="AC13" s="174" t="s">
        <v>321</v>
      </c>
      <c r="AD13" s="174" t="s">
        <v>321</v>
      </c>
      <c r="AE13" s="174" t="s">
        <v>321</v>
      </c>
      <c r="AF13" s="174" t="s">
        <v>321</v>
      </c>
      <c r="AG13" s="169" t="s">
        <v>321</v>
      </c>
      <c r="AH13" s="169" t="s">
        <v>321</v>
      </c>
      <c r="AI13" s="169" t="s">
        <v>321</v>
      </c>
      <c r="AJ13" s="169"/>
      <c r="AK13" s="169"/>
      <c r="AL13" s="178"/>
      <c r="AM13" s="178"/>
    </row>
    <row r="14" hidden="1">
      <c r="A14" s="166" t="s">
        <v>337</v>
      </c>
      <c r="B14" s="167" t="s">
        <v>338</v>
      </c>
      <c r="C14" s="167" t="s">
        <v>339</v>
      </c>
      <c r="D14" s="167"/>
      <c r="E14" s="167" t="s">
        <v>319</v>
      </c>
      <c r="F14" s="167" t="s">
        <v>326</v>
      </c>
      <c r="G14" s="169"/>
      <c r="H14" s="169"/>
      <c r="I14" s="169" t="s">
        <v>321</v>
      </c>
      <c r="J14" s="169"/>
      <c r="K14" s="169" t="s">
        <v>321</v>
      </c>
      <c r="L14" s="169"/>
      <c r="M14" s="169"/>
      <c r="N14" s="169"/>
      <c r="O14" s="169"/>
      <c r="P14" s="169"/>
      <c r="Q14" s="169"/>
      <c r="R14" s="169"/>
      <c r="S14" s="169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1"/>
      <c r="AM14" s="171"/>
    </row>
    <row r="15" hidden="1">
      <c r="A15" s="166" t="s">
        <v>337</v>
      </c>
      <c r="B15" s="167" t="s">
        <v>340</v>
      </c>
      <c r="C15" s="167" t="s">
        <v>341</v>
      </c>
      <c r="D15" s="167"/>
      <c r="E15" s="167" t="s">
        <v>319</v>
      </c>
      <c r="F15" s="167" t="s">
        <v>324</v>
      </c>
      <c r="G15" s="169"/>
      <c r="H15" s="169"/>
      <c r="I15" s="169"/>
      <c r="J15" s="169"/>
      <c r="K15" s="169" t="s">
        <v>321</v>
      </c>
      <c r="L15" s="169"/>
      <c r="M15" s="169" t="s">
        <v>321</v>
      </c>
      <c r="N15" s="172"/>
      <c r="O15" s="172"/>
      <c r="P15" s="172"/>
      <c r="Q15" s="172"/>
      <c r="R15" s="172"/>
      <c r="S15" s="172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1"/>
      <c r="AM15" s="171"/>
    </row>
    <row r="16" hidden="1">
      <c r="A16" s="166" t="s">
        <v>342</v>
      </c>
      <c r="B16" s="167" t="s">
        <v>343</v>
      </c>
      <c r="C16" s="167" t="s">
        <v>323</v>
      </c>
      <c r="D16" s="167"/>
      <c r="E16" s="167" t="s">
        <v>319</v>
      </c>
      <c r="F16" s="167" t="s">
        <v>324</v>
      </c>
      <c r="G16" s="172"/>
      <c r="H16" s="169"/>
      <c r="I16" s="169"/>
      <c r="J16" s="169"/>
      <c r="K16" s="169" t="s">
        <v>321</v>
      </c>
      <c r="L16" s="169" t="s">
        <v>321</v>
      </c>
      <c r="M16" s="169"/>
      <c r="N16" s="169" t="s">
        <v>321</v>
      </c>
      <c r="O16" s="169"/>
      <c r="P16" s="169"/>
      <c r="Q16" s="169"/>
      <c r="R16" s="172"/>
      <c r="S16" s="172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1"/>
      <c r="AM16" s="171"/>
    </row>
    <row r="17" hidden="1">
      <c r="A17" s="166" t="s">
        <v>337</v>
      </c>
      <c r="B17" s="167" t="s">
        <v>344</v>
      </c>
      <c r="C17" s="167" t="s">
        <v>333</v>
      </c>
      <c r="D17" s="167"/>
      <c r="E17" s="167" t="s">
        <v>319</v>
      </c>
      <c r="F17" s="167" t="s">
        <v>320</v>
      </c>
      <c r="G17" s="169"/>
      <c r="H17" s="169" t="s">
        <v>321</v>
      </c>
      <c r="I17" s="169"/>
      <c r="J17" s="173"/>
      <c r="K17" s="173"/>
      <c r="L17" s="173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1"/>
      <c r="AM17" s="171"/>
    </row>
    <row r="18" hidden="1">
      <c r="A18" s="166" t="s">
        <v>337</v>
      </c>
      <c r="B18" s="167" t="s">
        <v>345</v>
      </c>
      <c r="C18" s="167" t="s">
        <v>341</v>
      </c>
      <c r="D18" s="167"/>
      <c r="E18" s="167" t="s">
        <v>319</v>
      </c>
      <c r="F18" s="167" t="s">
        <v>320</v>
      </c>
      <c r="G18" s="169" t="s">
        <v>321</v>
      </c>
      <c r="H18" s="169"/>
      <c r="I18" s="172"/>
      <c r="J18" s="169" t="s">
        <v>321</v>
      </c>
      <c r="K18" s="172"/>
      <c r="L18" s="172"/>
      <c r="M18" s="172"/>
      <c r="N18" s="172"/>
      <c r="O18" s="172"/>
      <c r="P18" s="172"/>
      <c r="Q18" s="172"/>
      <c r="R18" s="172"/>
      <c r="S18" s="172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1"/>
      <c r="AM18" s="171"/>
    </row>
    <row r="19" hidden="1">
      <c r="A19" s="166" t="s">
        <v>337</v>
      </c>
      <c r="B19" s="167" t="s">
        <v>346</v>
      </c>
      <c r="C19" s="167" t="s">
        <v>341</v>
      </c>
      <c r="D19" s="167"/>
      <c r="E19" s="167" t="s">
        <v>319</v>
      </c>
      <c r="F19" s="167" t="s">
        <v>320</v>
      </c>
      <c r="G19" s="172"/>
      <c r="H19" s="169"/>
      <c r="I19" s="169" t="s">
        <v>321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1"/>
      <c r="AM19" s="171"/>
    </row>
    <row r="20" hidden="1">
      <c r="A20" s="166" t="s">
        <v>347</v>
      </c>
      <c r="B20" s="167" t="s">
        <v>348</v>
      </c>
      <c r="C20" s="167" t="s">
        <v>339</v>
      </c>
      <c r="D20" s="167"/>
      <c r="E20" s="167" t="s">
        <v>319</v>
      </c>
      <c r="F20" s="167" t="s">
        <v>326</v>
      </c>
      <c r="G20" s="169"/>
      <c r="H20" s="169"/>
      <c r="I20" s="169"/>
      <c r="J20" s="169"/>
      <c r="K20" s="169" t="s">
        <v>321</v>
      </c>
      <c r="L20" s="169"/>
      <c r="M20" s="172"/>
      <c r="N20" s="172"/>
      <c r="O20" s="172"/>
      <c r="P20" s="172"/>
      <c r="Q20" s="172"/>
      <c r="R20" s="172"/>
      <c r="S20" s="172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1"/>
      <c r="AM20" s="171"/>
    </row>
    <row r="21" hidden="1">
      <c r="A21" s="166" t="s">
        <v>337</v>
      </c>
      <c r="B21" s="167" t="s">
        <v>349</v>
      </c>
      <c r="C21" s="167" t="s">
        <v>341</v>
      </c>
      <c r="D21" s="167"/>
      <c r="E21" s="167" t="s">
        <v>319</v>
      </c>
      <c r="F21" s="167" t="s">
        <v>326</v>
      </c>
      <c r="G21" s="169"/>
      <c r="H21" s="169"/>
      <c r="I21" s="169"/>
      <c r="J21" s="169" t="s">
        <v>321</v>
      </c>
      <c r="K21" s="169" t="s">
        <v>321</v>
      </c>
      <c r="L21" s="169"/>
      <c r="M21" s="169"/>
      <c r="N21" s="169"/>
      <c r="O21" s="172"/>
      <c r="P21" s="172"/>
      <c r="Q21" s="172"/>
      <c r="R21" s="172"/>
      <c r="S21" s="172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1"/>
      <c r="AM21" s="171"/>
    </row>
    <row r="22" hidden="1">
      <c r="A22" s="166" t="s">
        <v>337</v>
      </c>
      <c r="B22" s="167" t="s">
        <v>345</v>
      </c>
      <c r="C22" s="167" t="s">
        <v>341</v>
      </c>
      <c r="D22" s="167"/>
      <c r="E22" s="167" t="s">
        <v>319</v>
      </c>
      <c r="F22" s="167" t="s">
        <v>320</v>
      </c>
      <c r="G22" s="169"/>
      <c r="H22" s="169"/>
      <c r="I22" s="172"/>
      <c r="J22" s="172"/>
      <c r="K22" s="169" t="s">
        <v>321</v>
      </c>
      <c r="L22" s="172"/>
      <c r="M22" s="172"/>
      <c r="N22" s="172"/>
      <c r="O22" s="172"/>
      <c r="P22" s="172"/>
      <c r="Q22" s="172"/>
      <c r="R22" s="172"/>
      <c r="S22" s="172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1"/>
      <c r="AM22" s="171"/>
    </row>
    <row r="23" hidden="1">
      <c r="A23" s="166" t="s">
        <v>347</v>
      </c>
      <c r="B23" s="167" t="s">
        <v>350</v>
      </c>
      <c r="C23" s="167" t="s">
        <v>333</v>
      </c>
      <c r="D23" s="167"/>
      <c r="E23" s="167" t="s">
        <v>319</v>
      </c>
      <c r="F23" s="167" t="s">
        <v>326</v>
      </c>
      <c r="G23" s="169"/>
      <c r="H23" s="169"/>
      <c r="I23" s="169"/>
      <c r="J23" s="169"/>
      <c r="K23" s="169" t="s">
        <v>321</v>
      </c>
      <c r="L23" s="169" t="s">
        <v>321</v>
      </c>
      <c r="M23" s="169"/>
      <c r="N23" s="169"/>
      <c r="O23" s="169"/>
      <c r="P23" s="169"/>
      <c r="Q23" s="169"/>
      <c r="R23" s="169"/>
      <c r="S23" s="169"/>
      <c r="T23" s="174"/>
      <c r="U23" s="174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1"/>
      <c r="AM23" s="171"/>
    </row>
    <row r="24" hidden="1">
      <c r="A24" s="166" t="s">
        <v>337</v>
      </c>
      <c r="B24" s="167" t="s">
        <v>351</v>
      </c>
      <c r="C24" s="167" t="s">
        <v>333</v>
      </c>
      <c r="D24" s="167"/>
      <c r="E24" s="167" t="s">
        <v>319</v>
      </c>
      <c r="F24" s="167" t="s">
        <v>320</v>
      </c>
      <c r="G24" s="168"/>
      <c r="H24" s="168"/>
      <c r="I24" s="168"/>
      <c r="J24" s="168"/>
      <c r="K24" s="169"/>
      <c r="L24" s="169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1"/>
      <c r="AM24" s="171"/>
    </row>
    <row r="25" hidden="1">
      <c r="A25" s="166" t="s">
        <v>352</v>
      </c>
      <c r="B25" s="167" t="s">
        <v>353</v>
      </c>
      <c r="C25" s="167" t="s">
        <v>333</v>
      </c>
      <c r="D25" s="167"/>
      <c r="E25" s="167" t="s">
        <v>319</v>
      </c>
      <c r="F25" s="167" t="s">
        <v>320</v>
      </c>
      <c r="G25" s="169"/>
      <c r="H25" s="169"/>
      <c r="I25" s="169" t="s">
        <v>321</v>
      </c>
      <c r="J25" s="169"/>
      <c r="K25" s="173"/>
      <c r="L25" s="173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1"/>
      <c r="AM25" s="171"/>
    </row>
    <row r="26" hidden="1">
      <c r="A26" s="166" t="s">
        <v>347</v>
      </c>
      <c r="B26" s="167" t="s">
        <v>354</v>
      </c>
      <c r="C26" s="167" t="s">
        <v>333</v>
      </c>
      <c r="D26" s="167"/>
      <c r="E26" s="167" t="s">
        <v>319</v>
      </c>
      <c r="F26" s="167" t="s">
        <v>326</v>
      </c>
      <c r="G26" s="173"/>
      <c r="H26" s="168"/>
      <c r="I26" s="173"/>
      <c r="J26" s="173"/>
      <c r="K26" s="173"/>
      <c r="L26" s="169" t="s">
        <v>321</v>
      </c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1"/>
      <c r="AM26" s="171"/>
    </row>
    <row r="27" hidden="1">
      <c r="A27" s="179" t="s">
        <v>355</v>
      </c>
      <c r="B27" s="180" t="s">
        <v>356</v>
      </c>
      <c r="C27" s="180" t="s">
        <v>339</v>
      </c>
      <c r="D27" s="167"/>
      <c r="E27" s="167" t="s">
        <v>319</v>
      </c>
      <c r="F27" s="167" t="s">
        <v>326</v>
      </c>
      <c r="G27" s="169"/>
      <c r="H27" s="169"/>
      <c r="I27" s="169"/>
      <c r="J27" s="169"/>
      <c r="K27" s="169"/>
      <c r="L27" s="169"/>
      <c r="M27" s="169"/>
      <c r="N27" s="169"/>
      <c r="O27" s="169" t="s">
        <v>321</v>
      </c>
      <c r="P27" s="169"/>
      <c r="Q27" s="169"/>
      <c r="R27" s="174"/>
      <c r="S27" s="174"/>
      <c r="T27" s="174"/>
      <c r="U27" s="174"/>
      <c r="V27" s="174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1"/>
      <c r="AM27" s="171"/>
    </row>
    <row r="28" hidden="1">
      <c r="A28" s="166" t="s">
        <v>355</v>
      </c>
      <c r="B28" s="181" t="s">
        <v>357</v>
      </c>
      <c r="C28" s="167" t="s">
        <v>339</v>
      </c>
      <c r="D28" s="167"/>
      <c r="E28" s="167" t="s">
        <v>319</v>
      </c>
      <c r="F28" s="167" t="s">
        <v>326</v>
      </c>
      <c r="G28" s="169"/>
      <c r="H28" s="169"/>
      <c r="I28" s="169"/>
      <c r="J28" s="169"/>
      <c r="K28" s="169"/>
      <c r="L28" s="169"/>
      <c r="M28" s="169"/>
      <c r="N28" s="169" t="s">
        <v>321</v>
      </c>
      <c r="O28" s="172"/>
      <c r="P28" s="172"/>
      <c r="Q28" s="172"/>
      <c r="R28" s="172"/>
      <c r="S28" s="172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1"/>
      <c r="AM28" s="171"/>
    </row>
    <row r="29" hidden="1">
      <c r="A29" s="166" t="s">
        <v>355</v>
      </c>
      <c r="B29" s="167" t="s">
        <v>358</v>
      </c>
      <c r="C29" s="167" t="s">
        <v>339</v>
      </c>
      <c r="D29" s="167"/>
      <c r="E29" s="167" t="s">
        <v>319</v>
      </c>
      <c r="F29" s="167" t="s">
        <v>324</v>
      </c>
      <c r="G29" s="169" t="s">
        <v>321</v>
      </c>
      <c r="H29" s="169" t="s">
        <v>321</v>
      </c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1"/>
      <c r="AM29" s="171"/>
    </row>
    <row r="30" hidden="1">
      <c r="A30" s="166" t="s">
        <v>355</v>
      </c>
      <c r="B30" s="167" t="s">
        <v>359</v>
      </c>
      <c r="C30" s="167" t="s">
        <v>339</v>
      </c>
      <c r="D30" s="167"/>
      <c r="E30" s="167" t="s">
        <v>319</v>
      </c>
      <c r="F30" s="167" t="s">
        <v>326</v>
      </c>
      <c r="G30" s="169"/>
      <c r="H30" s="169" t="s">
        <v>321</v>
      </c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1"/>
      <c r="AM30" s="171"/>
    </row>
    <row r="31" hidden="1">
      <c r="A31" s="166" t="s">
        <v>355</v>
      </c>
      <c r="B31" s="167" t="s">
        <v>360</v>
      </c>
      <c r="C31" s="167" t="s">
        <v>339</v>
      </c>
      <c r="D31" s="167"/>
      <c r="E31" s="167" t="s">
        <v>319</v>
      </c>
      <c r="F31" s="167" t="s">
        <v>326</v>
      </c>
      <c r="G31" s="169"/>
      <c r="H31" s="169"/>
      <c r="I31" s="169"/>
      <c r="J31" s="169"/>
      <c r="K31" s="169" t="s">
        <v>321</v>
      </c>
      <c r="L31" s="169" t="s">
        <v>321</v>
      </c>
      <c r="M31" s="172"/>
      <c r="N31" s="172"/>
      <c r="O31" s="172"/>
      <c r="P31" s="172"/>
      <c r="Q31" s="172"/>
      <c r="R31" s="172"/>
      <c r="S31" s="172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1"/>
      <c r="AM31" s="171"/>
    </row>
    <row r="32" hidden="1">
      <c r="A32" s="166" t="s">
        <v>355</v>
      </c>
      <c r="B32" s="167" t="s">
        <v>361</v>
      </c>
      <c r="C32" s="167" t="s">
        <v>339</v>
      </c>
      <c r="D32" s="167"/>
      <c r="E32" s="167" t="s">
        <v>319</v>
      </c>
      <c r="F32" s="167" t="s">
        <v>326</v>
      </c>
      <c r="G32" s="169"/>
      <c r="H32" s="169"/>
      <c r="I32" s="169"/>
      <c r="J32" s="169"/>
      <c r="K32" s="169" t="s">
        <v>321</v>
      </c>
      <c r="L32" s="169" t="s">
        <v>321</v>
      </c>
      <c r="M32" s="172"/>
      <c r="N32" s="172"/>
      <c r="O32" s="172"/>
      <c r="P32" s="172"/>
      <c r="Q32" s="172"/>
      <c r="R32" s="172"/>
      <c r="S32" s="172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1"/>
      <c r="AM32" s="171"/>
    </row>
    <row r="33" hidden="1">
      <c r="A33" s="166" t="s">
        <v>362</v>
      </c>
      <c r="B33" s="167" t="s">
        <v>363</v>
      </c>
      <c r="C33" s="167" t="s">
        <v>333</v>
      </c>
      <c r="D33" s="167"/>
      <c r="E33" s="167" t="s">
        <v>319</v>
      </c>
      <c r="F33" s="167" t="s">
        <v>320</v>
      </c>
      <c r="G33" s="169"/>
      <c r="H33" s="169"/>
      <c r="I33" s="169" t="s">
        <v>321</v>
      </c>
      <c r="J33" s="169"/>
      <c r="K33" s="173"/>
      <c r="L33" s="173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1"/>
      <c r="AM33" s="171"/>
    </row>
    <row r="34" hidden="1">
      <c r="A34" s="175" t="s">
        <v>364</v>
      </c>
      <c r="B34" s="176" t="s">
        <v>365</v>
      </c>
      <c r="C34" s="177" t="s">
        <v>101</v>
      </c>
      <c r="D34" s="176"/>
      <c r="E34" s="176" t="s">
        <v>319</v>
      </c>
      <c r="F34" s="176" t="s">
        <v>320</v>
      </c>
      <c r="G34" s="169"/>
      <c r="H34" s="169"/>
      <c r="I34" s="169"/>
      <c r="J34" s="169"/>
      <c r="K34" s="169"/>
      <c r="L34" s="172"/>
      <c r="M34" s="172"/>
      <c r="N34" s="169"/>
      <c r="O34" s="169"/>
      <c r="P34" s="169"/>
      <c r="Q34" s="169"/>
      <c r="R34" s="169"/>
      <c r="S34" s="169"/>
      <c r="T34" s="169"/>
      <c r="U34" s="169" t="s">
        <v>321</v>
      </c>
      <c r="V34" s="169" t="s">
        <v>321</v>
      </c>
      <c r="W34" s="169" t="s">
        <v>321</v>
      </c>
      <c r="X34" s="169" t="s">
        <v>321</v>
      </c>
      <c r="Y34" s="174" t="s">
        <v>321</v>
      </c>
      <c r="Z34" s="174" t="s">
        <v>321</v>
      </c>
      <c r="AA34" s="174" t="s">
        <v>321</v>
      </c>
      <c r="AB34" s="174" t="s">
        <v>321</v>
      </c>
      <c r="AC34" s="174" t="s">
        <v>321</v>
      </c>
      <c r="AD34" s="174"/>
      <c r="AE34" s="169"/>
      <c r="AF34" s="169"/>
      <c r="AG34" s="169"/>
      <c r="AH34" s="169"/>
      <c r="AI34" s="169"/>
      <c r="AJ34" s="169"/>
      <c r="AK34" s="169"/>
      <c r="AL34" s="178"/>
      <c r="AM34" s="178"/>
    </row>
    <row r="35" hidden="1">
      <c r="A35" s="175" t="s">
        <v>366</v>
      </c>
      <c r="B35" s="176" t="s">
        <v>367</v>
      </c>
      <c r="C35" s="176" t="s">
        <v>333</v>
      </c>
      <c r="D35" s="176"/>
      <c r="E35" s="176" t="s">
        <v>319</v>
      </c>
      <c r="F35" s="176" t="s">
        <v>326</v>
      </c>
      <c r="G35" s="168"/>
      <c r="H35" s="168"/>
      <c r="I35" s="173"/>
      <c r="J35" s="173"/>
      <c r="K35" s="169"/>
      <c r="L35" s="169"/>
      <c r="M35" s="174" t="s">
        <v>321</v>
      </c>
      <c r="N35" s="174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1"/>
      <c r="AM35" s="171"/>
    </row>
    <row r="36" hidden="1">
      <c r="A36" s="175" t="s">
        <v>366</v>
      </c>
      <c r="B36" s="176" t="s">
        <v>368</v>
      </c>
      <c r="C36" s="176" t="s">
        <v>333</v>
      </c>
      <c r="D36" s="176"/>
      <c r="E36" s="176" t="s">
        <v>319</v>
      </c>
      <c r="F36" s="176" t="s">
        <v>324</v>
      </c>
      <c r="G36" s="169"/>
      <c r="H36" s="169"/>
      <c r="I36" s="169"/>
      <c r="J36" s="173"/>
      <c r="K36" s="173"/>
      <c r="L36" s="173"/>
      <c r="M36" s="174"/>
      <c r="N36" s="174" t="s">
        <v>321</v>
      </c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82"/>
      <c r="AM36" s="182"/>
    </row>
    <row r="37" hidden="1">
      <c r="A37" s="175" t="s">
        <v>366</v>
      </c>
      <c r="B37" s="176" t="s">
        <v>369</v>
      </c>
      <c r="C37" s="176" t="s">
        <v>333</v>
      </c>
      <c r="D37" s="176"/>
      <c r="E37" s="176" t="s">
        <v>319</v>
      </c>
      <c r="F37" s="176" t="s">
        <v>326</v>
      </c>
      <c r="G37" s="169"/>
      <c r="H37" s="169"/>
      <c r="I37" s="169"/>
      <c r="J37" s="173"/>
      <c r="K37" s="173"/>
      <c r="L37" s="173"/>
      <c r="M37" s="174"/>
      <c r="N37" s="174" t="s">
        <v>321</v>
      </c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82"/>
      <c r="AM37" s="182"/>
    </row>
    <row r="38" hidden="1">
      <c r="A38" s="175" t="s">
        <v>370</v>
      </c>
      <c r="B38" s="176" t="s">
        <v>371</v>
      </c>
      <c r="C38" s="176" t="s">
        <v>339</v>
      </c>
      <c r="D38" s="176"/>
      <c r="E38" s="176" t="s">
        <v>319</v>
      </c>
      <c r="F38" s="176" t="s">
        <v>326</v>
      </c>
      <c r="G38" s="169" t="s">
        <v>321</v>
      </c>
      <c r="H38" s="169" t="s">
        <v>321</v>
      </c>
      <c r="I38" s="169" t="s">
        <v>321</v>
      </c>
      <c r="J38" s="169"/>
      <c r="K38" s="169" t="s">
        <v>321</v>
      </c>
      <c r="L38" s="169" t="s">
        <v>321</v>
      </c>
      <c r="M38" s="169" t="s">
        <v>321</v>
      </c>
      <c r="N38" s="169"/>
      <c r="O38" s="169"/>
      <c r="P38" s="169"/>
      <c r="Q38" s="169" t="s">
        <v>321</v>
      </c>
      <c r="R38" s="169" t="s">
        <v>321</v>
      </c>
      <c r="S38" s="169"/>
      <c r="T38" s="169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82"/>
      <c r="AM38" s="182"/>
    </row>
    <row r="39" hidden="1">
      <c r="A39" s="175" t="s">
        <v>372</v>
      </c>
      <c r="B39" s="176" t="s">
        <v>373</v>
      </c>
      <c r="C39" s="176" t="s">
        <v>333</v>
      </c>
      <c r="D39" s="176"/>
      <c r="E39" s="176" t="s">
        <v>319</v>
      </c>
      <c r="F39" s="176" t="s">
        <v>320</v>
      </c>
      <c r="G39" s="169"/>
      <c r="H39" s="169" t="s">
        <v>321</v>
      </c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1"/>
      <c r="AM39" s="171"/>
    </row>
    <row r="40" hidden="1">
      <c r="A40" s="175" t="s">
        <v>372</v>
      </c>
      <c r="B40" s="176" t="s">
        <v>374</v>
      </c>
      <c r="C40" s="176" t="s">
        <v>333</v>
      </c>
      <c r="D40" s="176"/>
      <c r="E40" s="176" t="s">
        <v>319</v>
      </c>
      <c r="F40" s="176" t="s">
        <v>326</v>
      </c>
      <c r="G40" s="169" t="s">
        <v>321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1"/>
      <c r="AM40" s="171"/>
    </row>
    <row r="41" hidden="1">
      <c r="A41" s="175" t="s">
        <v>375</v>
      </c>
      <c r="B41" s="176" t="s">
        <v>376</v>
      </c>
      <c r="C41" s="176" t="s">
        <v>333</v>
      </c>
      <c r="D41" s="176"/>
      <c r="E41" s="176" t="s">
        <v>319</v>
      </c>
      <c r="F41" s="176" t="s">
        <v>320</v>
      </c>
      <c r="G41" s="168"/>
      <c r="H41" s="168"/>
      <c r="I41" s="168"/>
      <c r="J41" s="168"/>
      <c r="K41" s="169" t="s">
        <v>321</v>
      </c>
      <c r="L41" s="169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1"/>
      <c r="AM41" s="171"/>
    </row>
    <row r="42" hidden="1">
      <c r="A42" s="175" t="s">
        <v>375</v>
      </c>
      <c r="B42" s="176" t="s">
        <v>377</v>
      </c>
      <c r="C42" s="176" t="s">
        <v>333</v>
      </c>
      <c r="D42" s="176"/>
      <c r="E42" s="176" t="s">
        <v>319</v>
      </c>
      <c r="F42" s="176" t="s">
        <v>324</v>
      </c>
      <c r="G42" s="168"/>
      <c r="H42" s="168"/>
      <c r="I42" s="168"/>
      <c r="J42" s="168"/>
      <c r="K42" s="169" t="s">
        <v>321</v>
      </c>
      <c r="L42" s="169" t="s">
        <v>321</v>
      </c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1"/>
      <c r="AM42" s="171"/>
    </row>
    <row r="43" hidden="1">
      <c r="A43" s="175" t="s">
        <v>378</v>
      </c>
      <c r="B43" s="176" t="s">
        <v>379</v>
      </c>
      <c r="C43" s="176" t="s">
        <v>333</v>
      </c>
      <c r="D43" s="176"/>
      <c r="E43" s="176" t="s">
        <v>319</v>
      </c>
      <c r="F43" s="176" t="s">
        <v>324</v>
      </c>
      <c r="G43" s="168"/>
      <c r="H43" s="168"/>
      <c r="I43" s="168"/>
      <c r="J43" s="168"/>
      <c r="K43" s="169" t="s">
        <v>321</v>
      </c>
      <c r="L43" s="169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1"/>
      <c r="AM43" s="171"/>
    </row>
    <row r="44" hidden="1">
      <c r="A44" s="175" t="s">
        <v>378</v>
      </c>
      <c r="B44" s="176" t="s">
        <v>380</v>
      </c>
      <c r="C44" s="176" t="s">
        <v>333</v>
      </c>
      <c r="D44" s="176"/>
      <c r="E44" s="176" t="s">
        <v>319</v>
      </c>
      <c r="F44" s="176" t="s">
        <v>326</v>
      </c>
      <c r="G44" s="169" t="s">
        <v>321</v>
      </c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1"/>
      <c r="AM44" s="171"/>
    </row>
    <row r="45" hidden="1">
      <c r="A45" s="175" t="s">
        <v>378</v>
      </c>
      <c r="B45" s="176" t="s">
        <v>381</v>
      </c>
      <c r="C45" s="176" t="s">
        <v>333</v>
      </c>
      <c r="D45" s="176"/>
      <c r="E45" s="176" t="s">
        <v>319</v>
      </c>
      <c r="F45" s="176" t="s">
        <v>326</v>
      </c>
      <c r="G45" s="173"/>
      <c r="H45" s="173"/>
      <c r="I45" s="173"/>
      <c r="J45" s="173"/>
      <c r="K45" s="173"/>
      <c r="L45" s="173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1"/>
      <c r="AM45" s="171"/>
    </row>
    <row r="46" hidden="1">
      <c r="A46" s="175" t="s">
        <v>378</v>
      </c>
      <c r="B46" s="176" t="s">
        <v>382</v>
      </c>
      <c r="C46" s="176" t="s">
        <v>333</v>
      </c>
      <c r="D46" s="176"/>
      <c r="E46" s="176" t="s">
        <v>319</v>
      </c>
      <c r="F46" s="176" t="s">
        <v>324</v>
      </c>
      <c r="G46" s="169"/>
      <c r="H46" s="169"/>
      <c r="I46" s="169" t="s">
        <v>321</v>
      </c>
      <c r="J46" s="169" t="s">
        <v>321</v>
      </c>
      <c r="K46" s="172"/>
      <c r="L46" s="172"/>
      <c r="M46" s="172"/>
      <c r="N46" s="172"/>
      <c r="O46" s="172"/>
      <c r="P46" s="172"/>
      <c r="Q46" s="172"/>
      <c r="R46" s="172"/>
      <c r="S46" s="172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1"/>
      <c r="AM46" s="171"/>
    </row>
    <row r="47" hidden="1">
      <c r="A47" s="175" t="s">
        <v>378</v>
      </c>
      <c r="B47" s="175" t="s">
        <v>383</v>
      </c>
      <c r="C47" s="176" t="s">
        <v>341</v>
      </c>
      <c r="D47" s="176"/>
      <c r="E47" s="176" t="s">
        <v>319</v>
      </c>
      <c r="F47" s="176" t="s">
        <v>324</v>
      </c>
      <c r="G47" s="173"/>
      <c r="H47" s="173"/>
      <c r="I47" s="173"/>
      <c r="J47" s="173"/>
      <c r="K47" s="173"/>
      <c r="L47" s="173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1"/>
      <c r="AM47" s="171"/>
    </row>
    <row r="48" hidden="1">
      <c r="A48" s="175" t="s">
        <v>378</v>
      </c>
      <c r="B48" s="175" t="s">
        <v>384</v>
      </c>
      <c r="C48" s="176" t="s">
        <v>341</v>
      </c>
      <c r="D48" s="176"/>
      <c r="E48" s="176" t="s">
        <v>319</v>
      </c>
      <c r="F48" s="176" t="s">
        <v>324</v>
      </c>
      <c r="G48" s="173"/>
      <c r="H48" s="173"/>
      <c r="I48" s="173"/>
      <c r="J48" s="173"/>
      <c r="K48" s="173"/>
      <c r="L48" s="173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1"/>
      <c r="AM48" s="171"/>
    </row>
    <row r="49" hidden="1">
      <c r="A49" s="175" t="s">
        <v>378</v>
      </c>
      <c r="B49" s="176" t="s">
        <v>385</v>
      </c>
      <c r="C49" s="176" t="s">
        <v>341</v>
      </c>
      <c r="D49" s="176"/>
      <c r="E49" s="176" t="s">
        <v>319</v>
      </c>
      <c r="F49" s="176" t="s">
        <v>324</v>
      </c>
      <c r="G49" s="173"/>
      <c r="H49" s="173"/>
      <c r="I49" s="173"/>
      <c r="J49" s="173"/>
      <c r="K49" s="173"/>
      <c r="L49" s="173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1"/>
      <c r="AM49" s="171"/>
    </row>
    <row r="50" hidden="1">
      <c r="A50" s="175" t="s">
        <v>378</v>
      </c>
      <c r="B50" s="176" t="s">
        <v>386</v>
      </c>
      <c r="C50" s="176" t="s">
        <v>341</v>
      </c>
      <c r="D50" s="176"/>
      <c r="E50" s="176" t="s">
        <v>319</v>
      </c>
      <c r="F50" s="176" t="s">
        <v>324</v>
      </c>
      <c r="G50" s="173"/>
      <c r="H50" s="173"/>
      <c r="I50" s="173"/>
      <c r="J50" s="173"/>
      <c r="K50" s="173"/>
      <c r="L50" s="173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1"/>
      <c r="AM50" s="171"/>
    </row>
    <row r="51" hidden="1">
      <c r="A51" s="175" t="s">
        <v>378</v>
      </c>
      <c r="B51" s="176" t="s">
        <v>387</v>
      </c>
      <c r="C51" s="176" t="s">
        <v>341</v>
      </c>
      <c r="D51" s="176"/>
      <c r="E51" s="176" t="s">
        <v>319</v>
      </c>
      <c r="F51" s="176" t="s">
        <v>320</v>
      </c>
      <c r="G51" s="173"/>
      <c r="H51" s="173"/>
      <c r="I51" s="173"/>
      <c r="J51" s="173"/>
      <c r="K51" s="173"/>
      <c r="L51" s="173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1"/>
      <c r="AM51" s="171"/>
    </row>
    <row r="52" hidden="1">
      <c r="A52" s="175" t="s">
        <v>372</v>
      </c>
      <c r="B52" s="176" t="s">
        <v>388</v>
      </c>
      <c r="C52" s="176" t="s">
        <v>333</v>
      </c>
      <c r="D52" s="176"/>
      <c r="E52" s="176" t="s">
        <v>319</v>
      </c>
      <c r="F52" s="176" t="s">
        <v>326</v>
      </c>
      <c r="G52" s="173"/>
      <c r="H52" s="168"/>
      <c r="I52" s="173"/>
      <c r="J52" s="173"/>
      <c r="K52" s="173"/>
      <c r="L52" s="169"/>
      <c r="M52" s="174" t="s">
        <v>321</v>
      </c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1"/>
      <c r="AM52" s="171"/>
    </row>
    <row r="53" hidden="1">
      <c r="A53" s="175" t="s">
        <v>372</v>
      </c>
      <c r="B53" s="176" t="s">
        <v>389</v>
      </c>
      <c r="C53" s="176" t="s">
        <v>333</v>
      </c>
      <c r="D53" s="176"/>
      <c r="E53" s="176" t="s">
        <v>319</v>
      </c>
      <c r="F53" s="176" t="s">
        <v>326</v>
      </c>
      <c r="G53" s="172"/>
      <c r="H53" s="169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1"/>
      <c r="AM53" s="171"/>
    </row>
    <row r="54" hidden="1">
      <c r="A54" s="175" t="s">
        <v>85</v>
      </c>
      <c r="B54" s="176" t="s">
        <v>390</v>
      </c>
      <c r="C54" s="176" t="s">
        <v>339</v>
      </c>
      <c r="D54" s="176"/>
      <c r="E54" s="176" t="s">
        <v>319</v>
      </c>
      <c r="F54" s="176" t="s">
        <v>326</v>
      </c>
      <c r="G54" s="169"/>
      <c r="H54" s="169"/>
      <c r="I54" s="169"/>
      <c r="J54" s="169"/>
      <c r="K54" s="169"/>
      <c r="L54" s="169"/>
      <c r="M54" s="169"/>
      <c r="N54" s="169"/>
      <c r="O54" s="169"/>
      <c r="P54" s="169" t="s">
        <v>321</v>
      </c>
      <c r="Q54" s="169"/>
      <c r="R54" s="169"/>
      <c r="S54" s="169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1"/>
      <c r="AM54" s="171"/>
    </row>
    <row r="55" hidden="1">
      <c r="A55" s="175" t="s">
        <v>366</v>
      </c>
      <c r="B55" s="176" t="s">
        <v>391</v>
      </c>
      <c r="C55" s="176" t="s">
        <v>333</v>
      </c>
      <c r="D55" s="176"/>
      <c r="E55" s="176" t="s">
        <v>319</v>
      </c>
      <c r="F55" s="176" t="s">
        <v>324</v>
      </c>
      <c r="G55" s="169"/>
      <c r="H55" s="169"/>
      <c r="I55" s="169"/>
      <c r="J55" s="173"/>
      <c r="K55" s="173"/>
      <c r="L55" s="173"/>
      <c r="M55" s="174"/>
      <c r="N55" s="174"/>
      <c r="O55" s="174"/>
      <c r="P55" s="174" t="s">
        <v>321</v>
      </c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/>
      <c r="AL55" s="182"/>
      <c r="AM55" s="182"/>
    </row>
    <row r="56" hidden="1">
      <c r="A56" s="175" t="s">
        <v>366</v>
      </c>
      <c r="B56" s="176" t="s">
        <v>392</v>
      </c>
      <c r="C56" s="176" t="s">
        <v>333</v>
      </c>
      <c r="D56" s="176"/>
      <c r="E56" s="176" t="s">
        <v>319</v>
      </c>
      <c r="F56" s="176" t="s">
        <v>324</v>
      </c>
      <c r="G56" s="169"/>
      <c r="H56" s="169"/>
      <c r="I56" s="169"/>
      <c r="J56" s="173"/>
      <c r="K56" s="173"/>
      <c r="L56" s="173"/>
      <c r="M56" s="174"/>
      <c r="N56" s="174"/>
      <c r="O56" s="174"/>
      <c r="P56" s="174" t="s">
        <v>321</v>
      </c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82"/>
      <c r="AM56" s="182"/>
    </row>
    <row r="57" hidden="1">
      <c r="A57" s="175" t="s">
        <v>366</v>
      </c>
      <c r="B57" s="176" t="s">
        <v>393</v>
      </c>
      <c r="C57" s="176" t="s">
        <v>333</v>
      </c>
      <c r="D57" s="176"/>
      <c r="E57" s="176" t="s">
        <v>319</v>
      </c>
      <c r="F57" s="176" t="s">
        <v>324</v>
      </c>
      <c r="G57" s="169"/>
      <c r="H57" s="169"/>
      <c r="I57" s="169"/>
      <c r="J57" s="173"/>
      <c r="K57" s="173"/>
      <c r="L57" s="173"/>
      <c r="M57" s="174"/>
      <c r="N57" s="174"/>
      <c r="O57" s="174"/>
      <c r="P57" s="174" t="s">
        <v>321</v>
      </c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82"/>
      <c r="AM57" s="182"/>
    </row>
    <row r="58" hidden="1">
      <c r="A58" s="175" t="s">
        <v>394</v>
      </c>
      <c r="B58" s="176" t="s">
        <v>395</v>
      </c>
      <c r="C58" s="176" t="s">
        <v>341</v>
      </c>
      <c r="D58" s="176"/>
      <c r="E58" s="176" t="s">
        <v>319</v>
      </c>
      <c r="F58" s="176" t="s">
        <v>326</v>
      </c>
      <c r="G58" s="169"/>
      <c r="H58" s="169" t="s">
        <v>321</v>
      </c>
      <c r="I58" s="169"/>
      <c r="J58" s="169"/>
      <c r="K58" s="172"/>
      <c r="L58" s="172"/>
      <c r="M58" s="172"/>
      <c r="N58" s="172"/>
      <c r="O58" s="172"/>
      <c r="P58" s="172"/>
      <c r="Q58" s="172"/>
      <c r="R58" s="172"/>
      <c r="S58" s="172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1"/>
      <c r="AM58" s="171"/>
    </row>
    <row r="59" hidden="1">
      <c r="A59" s="175" t="s">
        <v>85</v>
      </c>
      <c r="B59" s="176" t="s">
        <v>396</v>
      </c>
      <c r="C59" s="176" t="s">
        <v>339</v>
      </c>
      <c r="D59" s="176"/>
      <c r="E59" s="176" t="s">
        <v>319</v>
      </c>
      <c r="F59" s="176" t="s">
        <v>326</v>
      </c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 t="s">
        <v>321</v>
      </c>
      <c r="R59" s="169" t="s">
        <v>321</v>
      </c>
      <c r="S59" s="169"/>
      <c r="T59" s="174"/>
      <c r="U59" s="174"/>
      <c r="V59" s="174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1"/>
      <c r="AM59" s="171"/>
    </row>
    <row r="60" hidden="1">
      <c r="A60" s="175" t="s">
        <v>364</v>
      </c>
      <c r="B60" s="176" t="s">
        <v>397</v>
      </c>
      <c r="C60" s="177" t="s">
        <v>101</v>
      </c>
      <c r="D60" s="176"/>
      <c r="E60" s="176" t="s">
        <v>319</v>
      </c>
      <c r="F60" s="176" t="s">
        <v>320</v>
      </c>
      <c r="G60" s="169"/>
      <c r="H60" s="169"/>
      <c r="I60" s="169"/>
      <c r="J60" s="169"/>
      <c r="K60" s="169"/>
      <c r="L60" s="172"/>
      <c r="M60" s="172"/>
      <c r="N60" s="169"/>
      <c r="O60" s="169"/>
      <c r="P60" s="169"/>
      <c r="Q60" s="169"/>
      <c r="R60" s="169"/>
      <c r="S60" s="169"/>
      <c r="T60" s="169"/>
      <c r="U60" s="169" t="s">
        <v>321</v>
      </c>
      <c r="V60" s="169" t="s">
        <v>321</v>
      </c>
      <c r="W60" s="169" t="s">
        <v>321</v>
      </c>
      <c r="X60" s="169" t="s">
        <v>321</v>
      </c>
      <c r="Y60" s="174" t="s">
        <v>321</v>
      </c>
      <c r="Z60" s="174" t="s">
        <v>321</v>
      </c>
      <c r="AA60" s="174" t="s">
        <v>321</v>
      </c>
      <c r="AB60" s="174" t="s">
        <v>321</v>
      </c>
      <c r="AC60" s="174" t="s">
        <v>321</v>
      </c>
      <c r="AD60" s="174"/>
      <c r="AE60" s="169"/>
      <c r="AF60" s="169"/>
      <c r="AG60" s="169"/>
      <c r="AH60" s="169"/>
      <c r="AI60" s="169"/>
      <c r="AJ60" s="169"/>
      <c r="AK60" s="169"/>
      <c r="AL60" s="178"/>
      <c r="AM60" s="178"/>
    </row>
    <row r="61" hidden="1">
      <c r="A61" s="175" t="s">
        <v>398</v>
      </c>
      <c r="B61" s="176" t="s">
        <v>399</v>
      </c>
      <c r="C61" s="177" t="s">
        <v>159</v>
      </c>
      <c r="D61" s="176"/>
      <c r="E61" s="176" t="s">
        <v>319</v>
      </c>
      <c r="F61" s="176" t="s">
        <v>326</v>
      </c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74"/>
      <c r="U61" s="174"/>
      <c r="V61" s="174"/>
      <c r="W61" s="170"/>
      <c r="X61" s="170"/>
      <c r="Y61" s="174"/>
      <c r="Z61" s="174"/>
      <c r="AA61" s="174"/>
      <c r="AB61" s="174" t="s">
        <v>321</v>
      </c>
      <c r="AC61" s="174" t="s">
        <v>321</v>
      </c>
      <c r="AD61" s="174" t="s">
        <v>321</v>
      </c>
      <c r="AE61" s="174" t="s">
        <v>321</v>
      </c>
      <c r="AF61" s="174" t="s">
        <v>321</v>
      </c>
      <c r="AG61" s="169" t="s">
        <v>321</v>
      </c>
      <c r="AH61" s="169" t="s">
        <v>321</v>
      </c>
      <c r="AI61" s="169" t="s">
        <v>321</v>
      </c>
      <c r="AJ61" s="169"/>
      <c r="AK61" s="169" t="s">
        <v>321</v>
      </c>
      <c r="AL61" s="169"/>
      <c r="AM61" s="178"/>
    </row>
    <row r="62" hidden="1">
      <c r="A62" s="175" t="s">
        <v>398</v>
      </c>
      <c r="B62" s="176" t="s">
        <v>400</v>
      </c>
      <c r="C62" s="177" t="s">
        <v>159</v>
      </c>
      <c r="D62" s="176"/>
      <c r="E62" s="176" t="s">
        <v>319</v>
      </c>
      <c r="F62" s="176" t="s">
        <v>326</v>
      </c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74"/>
      <c r="U62" s="174"/>
      <c r="V62" s="174"/>
      <c r="W62" s="170"/>
      <c r="X62" s="170"/>
      <c r="Y62" s="174"/>
      <c r="Z62" s="174"/>
      <c r="AA62" s="174"/>
      <c r="AB62" s="174" t="s">
        <v>321</v>
      </c>
      <c r="AC62" s="174" t="s">
        <v>321</v>
      </c>
      <c r="AD62" s="174" t="s">
        <v>321</v>
      </c>
      <c r="AE62" s="174" t="s">
        <v>321</v>
      </c>
      <c r="AF62" s="174" t="s">
        <v>321</v>
      </c>
      <c r="AG62" s="169" t="s">
        <v>321</v>
      </c>
      <c r="AH62" s="169" t="s">
        <v>321</v>
      </c>
      <c r="AI62" s="169" t="s">
        <v>321</v>
      </c>
      <c r="AJ62" s="169"/>
      <c r="AK62" s="169" t="s">
        <v>321</v>
      </c>
      <c r="AL62" s="169"/>
      <c r="AM62" s="178"/>
    </row>
    <row r="63" hidden="1">
      <c r="A63" s="175" t="s">
        <v>364</v>
      </c>
      <c r="B63" s="176" t="s">
        <v>401</v>
      </c>
      <c r="C63" s="177" t="s">
        <v>101</v>
      </c>
      <c r="D63" s="176"/>
      <c r="E63" s="176" t="s">
        <v>319</v>
      </c>
      <c r="F63" s="176" t="s">
        <v>326</v>
      </c>
      <c r="G63" s="169"/>
      <c r="H63" s="169"/>
      <c r="I63" s="169"/>
      <c r="J63" s="169"/>
      <c r="K63" s="169"/>
      <c r="L63" s="172"/>
      <c r="M63" s="172"/>
      <c r="N63" s="169"/>
      <c r="O63" s="169"/>
      <c r="P63" s="169"/>
      <c r="Q63" s="169"/>
      <c r="R63" s="169"/>
      <c r="S63" s="169"/>
      <c r="T63" s="169"/>
      <c r="U63" s="169" t="s">
        <v>321</v>
      </c>
      <c r="V63" s="169" t="s">
        <v>321</v>
      </c>
      <c r="W63" s="169" t="s">
        <v>321</v>
      </c>
      <c r="X63" s="169" t="s">
        <v>321</v>
      </c>
      <c r="Y63" s="174" t="s">
        <v>321</v>
      </c>
      <c r="Z63" s="174"/>
      <c r="AA63" s="174"/>
      <c r="AB63" s="174"/>
      <c r="AC63" s="174"/>
      <c r="AD63" s="174"/>
      <c r="AE63" s="174"/>
      <c r="AF63" s="174" t="s">
        <v>321</v>
      </c>
      <c r="AG63" s="169" t="s">
        <v>321</v>
      </c>
      <c r="AH63" s="169" t="s">
        <v>321</v>
      </c>
      <c r="AI63" s="169" t="s">
        <v>321</v>
      </c>
      <c r="AJ63" s="169" t="s">
        <v>321</v>
      </c>
      <c r="AK63" s="169"/>
      <c r="AL63" s="178"/>
      <c r="AM63" s="178"/>
    </row>
    <row r="64" hidden="1">
      <c r="A64" s="175" t="s">
        <v>364</v>
      </c>
      <c r="B64" s="176" t="s">
        <v>402</v>
      </c>
      <c r="C64" s="177" t="s">
        <v>101</v>
      </c>
      <c r="D64" s="176"/>
      <c r="E64" s="176" t="s">
        <v>319</v>
      </c>
      <c r="F64" s="176" t="s">
        <v>326</v>
      </c>
      <c r="G64" s="169"/>
      <c r="H64" s="169"/>
      <c r="I64" s="169"/>
      <c r="J64" s="169"/>
      <c r="K64" s="169"/>
      <c r="L64" s="172"/>
      <c r="M64" s="172"/>
      <c r="N64" s="169"/>
      <c r="O64" s="169"/>
      <c r="P64" s="169"/>
      <c r="Q64" s="169"/>
      <c r="R64" s="169"/>
      <c r="S64" s="169"/>
      <c r="T64" s="169"/>
      <c r="U64" s="169" t="s">
        <v>321</v>
      </c>
      <c r="V64" s="169" t="s">
        <v>321</v>
      </c>
      <c r="W64" s="169" t="s">
        <v>321</v>
      </c>
      <c r="X64" s="169" t="s">
        <v>321</v>
      </c>
      <c r="Y64" s="174" t="s">
        <v>321</v>
      </c>
      <c r="Z64" s="174"/>
      <c r="AA64" s="174"/>
      <c r="AB64" s="174"/>
      <c r="AC64" s="174"/>
      <c r="AD64" s="174"/>
      <c r="AE64" s="174"/>
      <c r="AF64" s="174" t="s">
        <v>321</v>
      </c>
      <c r="AG64" s="169" t="s">
        <v>321</v>
      </c>
      <c r="AH64" s="169" t="s">
        <v>321</v>
      </c>
      <c r="AI64" s="169"/>
      <c r="AJ64" s="169"/>
      <c r="AK64" s="169"/>
      <c r="AL64" s="178"/>
      <c r="AM64" s="178"/>
    </row>
    <row r="65" hidden="1">
      <c r="A65" s="175" t="s">
        <v>364</v>
      </c>
      <c r="B65" s="176" t="s">
        <v>403</v>
      </c>
      <c r="C65" s="177" t="s">
        <v>101</v>
      </c>
      <c r="D65" s="176"/>
      <c r="E65" s="176" t="s">
        <v>319</v>
      </c>
      <c r="F65" s="176" t="s">
        <v>326</v>
      </c>
      <c r="G65" s="169"/>
      <c r="H65" s="169"/>
      <c r="I65" s="169"/>
      <c r="J65" s="169"/>
      <c r="K65" s="169"/>
      <c r="L65" s="172"/>
      <c r="M65" s="172"/>
      <c r="N65" s="169"/>
      <c r="O65" s="169"/>
      <c r="P65" s="169"/>
      <c r="Q65" s="169"/>
      <c r="R65" s="169"/>
      <c r="S65" s="169"/>
      <c r="T65" s="169"/>
      <c r="U65" s="169" t="s">
        <v>321</v>
      </c>
      <c r="V65" s="169" t="s">
        <v>321</v>
      </c>
      <c r="W65" s="169" t="s">
        <v>321</v>
      </c>
      <c r="X65" s="169" t="s">
        <v>321</v>
      </c>
      <c r="Y65" s="174" t="s">
        <v>321</v>
      </c>
      <c r="Z65" s="174" t="s">
        <v>321</v>
      </c>
      <c r="AA65" s="174" t="s">
        <v>321</v>
      </c>
      <c r="AB65" s="174"/>
      <c r="AC65" s="174"/>
      <c r="AD65" s="174"/>
      <c r="AE65" s="169"/>
      <c r="AF65" s="169"/>
      <c r="AG65" s="169"/>
      <c r="AH65" s="169"/>
      <c r="AI65" s="169"/>
      <c r="AJ65" s="169"/>
      <c r="AK65" s="169"/>
      <c r="AL65" s="178"/>
      <c r="AM65" s="178"/>
    </row>
    <row r="66" hidden="1">
      <c r="A66" s="175" t="s">
        <v>404</v>
      </c>
      <c r="B66" s="176" t="s">
        <v>405</v>
      </c>
      <c r="C66" s="176" t="s">
        <v>333</v>
      </c>
      <c r="D66" s="176"/>
      <c r="E66" s="176" t="s">
        <v>319</v>
      </c>
      <c r="F66" s="176" t="s">
        <v>326</v>
      </c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 t="s">
        <v>321</v>
      </c>
      <c r="R66" s="169"/>
      <c r="S66" s="169" t="s">
        <v>321</v>
      </c>
      <c r="T66" s="174" t="s">
        <v>321</v>
      </c>
      <c r="U66" s="169"/>
      <c r="V66" s="174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1"/>
      <c r="AM66" s="171"/>
    </row>
    <row r="67" hidden="1">
      <c r="A67" s="175" t="s">
        <v>366</v>
      </c>
      <c r="B67" s="176" t="s">
        <v>406</v>
      </c>
      <c r="C67" s="176" t="s">
        <v>333</v>
      </c>
      <c r="D67" s="176"/>
      <c r="E67" s="176" t="s">
        <v>319</v>
      </c>
      <c r="F67" s="176" t="s">
        <v>326</v>
      </c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 t="s">
        <v>321</v>
      </c>
      <c r="R67" s="169" t="s">
        <v>321</v>
      </c>
      <c r="S67" s="169"/>
      <c r="T67" s="174"/>
      <c r="U67" s="174"/>
      <c r="V67" s="174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1"/>
      <c r="AM67" s="171"/>
    </row>
    <row r="68" hidden="1">
      <c r="A68" s="175" t="s">
        <v>366</v>
      </c>
      <c r="B68" s="176" t="s">
        <v>407</v>
      </c>
      <c r="C68" s="176" t="s">
        <v>333</v>
      </c>
      <c r="D68" s="176"/>
      <c r="E68" s="176" t="s">
        <v>319</v>
      </c>
      <c r="F68" s="176" t="s">
        <v>326</v>
      </c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 t="s">
        <v>321</v>
      </c>
      <c r="R68" s="169" t="s">
        <v>321</v>
      </c>
      <c r="S68" s="169"/>
      <c r="T68" s="174"/>
      <c r="U68" s="174"/>
      <c r="V68" s="174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1"/>
      <c r="AM68" s="171"/>
    </row>
    <row r="69" hidden="1">
      <c r="A69" s="175" t="s">
        <v>366</v>
      </c>
      <c r="B69" s="176" t="s">
        <v>369</v>
      </c>
      <c r="C69" s="176" t="s">
        <v>333</v>
      </c>
      <c r="D69" s="176"/>
      <c r="E69" s="176" t="s">
        <v>319</v>
      </c>
      <c r="F69" s="176" t="s">
        <v>326</v>
      </c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 t="s">
        <v>321</v>
      </c>
      <c r="R69" s="169" t="s">
        <v>321</v>
      </c>
      <c r="S69" s="169"/>
      <c r="T69" s="174"/>
      <c r="U69" s="174"/>
      <c r="V69" s="174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1"/>
      <c r="AM69" s="171"/>
    </row>
    <row r="70" hidden="1">
      <c r="A70" s="175" t="s">
        <v>366</v>
      </c>
      <c r="B70" s="176" t="s">
        <v>408</v>
      </c>
      <c r="C70" s="176" t="s">
        <v>333</v>
      </c>
      <c r="D70" s="176"/>
      <c r="E70" s="176" t="s">
        <v>319</v>
      </c>
      <c r="F70" s="176" t="s">
        <v>326</v>
      </c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 t="s">
        <v>321</v>
      </c>
      <c r="R70" s="169" t="s">
        <v>321</v>
      </c>
      <c r="S70" s="169"/>
      <c r="T70" s="174"/>
      <c r="U70" s="174"/>
      <c r="V70" s="174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1"/>
      <c r="AM70" s="171"/>
    </row>
    <row r="71" hidden="1">
      <c r="A71" s="175" t="s">
        <v>85</v>
      </c>
      <c r="B71" s="176" t="s">
        <v>409</v>
      </c>
      <c r="C71" s="176" t="s">
        <v>339</v>
      </c>
      <c r="D71" s="176"/>
      <c r="E71" s="176" t="s">
        <v>319</v>
      </c>
      <c r="F71" s="176" t="s">
        <v>326</v>
      </c>
      <c r="G71" s="169"/>
      <c r="H71" s="169"/>
      <c r="I71" s="169"/>
      <c r="J71" s="169"/>
      <c r="K71" s="169"/>
      <c r="L71" s="169"/>
      <c r="M71" s="169"/>
      <c r="N71" s="169"/>
      <c r="O71" s="169" t="s">
        <v>321</v>
      </c>
      <c r="P71" s="169"/>
      <c r="Q71" s="169"/>
      <c r="R71" s="169"/>
      <c r="S71" s="169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1"/>
      <c r="AM71" s="171"/>
    </row>
    <row r="72" hidden="1">
      <c r="A72" s="175" t="s">
        <v>394</v>
      </c>
      <c r="B72" s="176" t="s">
        <v>410</v>
      </c>
      <c r="C72" s="176" t="s">
        <v>341</v>
      </c>
      <c r="D72" s="176"/>
      <c r="E72" s="176" t="s">
        <v>319</v>
      </c>
      <c r="F72" s="176" t="s">
        <v>324</v>
      </c>
      <c r="G72" s="169"/>
      <c r="H72" s="169"/>
      <c r="I72" s="169"/>
      <c r="J72" s="169"/>
      <c r="K72" s="169" t="s">
        <v>321</v>
      </c>
      <c r="L72" s="169" t="s">
        <v>321</v>
      </c>
      <c r="M72" s="172"/>
      <c r="N72" s="172"/>
      <c r="O72" s="172"/>
      <c r="P72" s="172"/>
      <c r="Q72" s="172"/>
      <c r="R72" s="172"/>
      <c r="S72" s="172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1"/>
      <c r="AM72" s="171"/>
    </row>
    <row r="73" hidden="1">
      <c r="A73" s="175" t="s">
        <v>394</v>
      </c>
      <c r="B73" s="176" t="s">
        <v>411</v>
      </c>
      <c r="C73" s="176" t="s">
        <v>341</v>
      </c>
      <c r="D73" s="176"/>
      <c r="E73" s="176" t="s">
        <v>319</v>
      </c>
      <c r="F73" s="176" t="s">
        <v>326</v>
      </c>
      <c r="G73" s="169"/>
      <c r="H73" s="169"/>
      <c r="I73" s="169"/>
      <c r="J73" s="169"/>
      <c r="K73" s="169"/>
      <c r="L73" s="169" t="s">
        <v>321</v>
      </c>
      <c r="M73" s="169" t="s">
        <v>321</v>
      </c>
      <c r="N73" s="169"/>
      <c r="O73" s="169"/>
      <c r="P73" s="169"/>
      <c r="Q73" s="169"/>
      <c r="R73" s="169"/>
      <c r="S73" s="169"/>
      <c r="T73" s="169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1"/>
      <c r="AM73" s="171"/>
    </row>
    <row r="74" hidden="1">
      <c r="A74" s="175" t="s">
        <v>394</v>
      </c>
      <c r="B74" s="176" t="s">
        <v>412</v>
      </c>
      <c r="C74" s="176" t="s">
        <v>341</v>
      </c>
      <c r="D74" s="176"/>
      <c r="E74" s="176" t="s">
        <v>319</v>
      </c>
      <c r="F74" s="176" t="s">
        <v>326</v>
      </c>
      <c r="G74" s="169"/>
      <c r="H74" s="169"/>
      <c r="I74" s="169"/>
      <c r="J74" s="169"/>
      <c r="K74" s="169"/>
      <c r="L74" s="169" t="s">
        <v>321</v>
      </c>
      <c r="M74" s="169"/>
      <c r="N74" s="169"/>
      <c r="O74" s="169"/>
      <c r="P74" s="169"/>
      <c r="Q74" s="169"/>
      <c r="R74" s="169"/>
      <c r="S74" s="169"/>
      <c r="T74" s="169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1"/>
      <c r="AM74" s="171"/>
    </row>
    <row r="75" hidden="1">
      <c r="A75" s="175" t="s">
        <v>394</v>
      </c>
      <c r="B75" s="176" t="s">
        <v>413</v>
      </c>
      <c r="C75" s="176" t="s">
        <v>341</v>
      </c>
      <c r="D75" s="176"/>
      <c r="E75" s="176" t="s">
        <v>319</v>
      </c>
      <c r="F75" s="176" t="s">
        <v>324</v>
      </c>
      <c r="G75" s="169"/>
      <c r="H75" s="169"/>
      <c r="I75" s="169"/>
      <c r="J75" s="169"/>
      <c r="K75" s="169"/>
      <c r="L75" s="169"/>
      <c r="M75" s="169" t="s">
        <v>321</v>
      </c>
      <c r="N75" s="169" t="s">
        <v>321</v>
      </c>
      <c r="O75" s="172"/>
      <c r="P75" s="172"/>
      <c r="Q75" s="172"/>
      <c r="R75" s="172"/>
      <c r="S75" s="172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1"/>
      <c r="AM75" s="171"/>
    </row>
    <row r="76" hidden="1">
      <c r="A76" s="175" t="s">
        <v>394</v>
      </c>
      <c r="B76" s="176" t="s">
        <v>414</v>
      </c>
      <c r="C76" s="176" t="s">
        <v>333</v>
      </c>
      <c r="D76" s="176"/>
      <c r="E76" s="176" t="s">
        <v>319</v>
      </c>
      <c r="F76" s="176" t="s">
        <v>326</v>
      </c>
      <c r="G76" s="169" t="s">
        <v>321</v>
      </c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1"/>
      <c r="AM76" s="171"/>
    </row>
    <row r="77" hidden="1">
      <c r="A77" s="175" t="s">
        <v>372</v>
      </c>
      <c r="B77" s="176" t="s">
        <v>415</v>
      </c>
      <c r="C77" s="176" t="s">
        <v>333</v>
      </c>
      <c r="D77" s="176"/>
      <c r="E77" s="176" t="s">
        <v>319</v>
      </c>
      <c r="F77" s="176" t="s">
        <v>326</v>
      </c>
      <c r="G77" s="173"/>
      <c r="H77" s="168"/>
      <c r="I77" s="173"/>
      <c r="J77" s="173"/>
      <c r="K77" s="173"/>
      <c r="L77" s="173"/>
      <c r="M77" s="170"/>
      <c r="N77" s="170"/>
      <c r="O77" s="170"/>
      <c r="P77" s="174"/>
      <c r="Q77" s="174" t="s">
        <v>321</v>
      </c>
      <c r="R77" s="174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1"/>
      <c r="AM77" s="171"/>
    </row>
    <row r="78" hidden="1">
      <c r="A78" s="175" t="s">
        <v>394</v>
      </c>
      <c r="B78" s="176" t="s">
        <v>416</v>
      </c>
      <c r="C78" s="176" t="s">
        <v>341</v>
      </c>
      <c r="D78" s="176"/>
      <c r="E78" s="176" t="s">
        <v>319</v>
      </c>
      <c r="F78" s="176" t="s">
        <v>324</v>
      </c>
      <c r="G78" s="169"/>
      <c r="H78" s="169"/>
      <c r="I78" s="169"/>
      <c r="J78" s="169"/>
      <c r="K78" s="169"/>
      <c r="L78" s="172"/>
      <c r="M78" s="172"/>
      <c r="N78" s="169"/>
      <c r="O78" s="169" t="s">
        <v>321</v>
      </c>
      <c r="P78" s="169"/>
      <c r="Q78" s="169"/>
      <c r="R78" s="172"/>
      <c r="S78" s="172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1"/>
      <c r="AM78" s="171"/>
    </row>
    <row r="79" hidden="1">
      <c r="A79" s="175" t="s">
        <v>404</v>
      </c>
      <c r="B79" s="176" t="s">
        <v>417</v>
      </c>
      <c r="C79" s="176" t="s">
        <v>333</v>
      </c>
      <c r="D79" s="176"/>
      <c r="E79" s="176" t="s">
        <v>319</v>
      </c>
      <c r="F79" s="176" t="s">
        <v>324</v>
      </c>
      <c r="G79" s="169"/>
      <c r="H79" s="169"/>
      <c r="I79" s="169"/>
      <c r="J79" s="169"/>
      <c r="K79" s="169"/>
      <c r="L79" s="172"/>
      <c r="M79" s="172"/>
      <c r="N79" s="169"/>
      <c r="O79" s="169"/>
      <c r="P79" s="169"/>
      <c r="Q79" s="169"/>
      <c r="R79" s="169"/>
      <c r="S79" s="169"/>
      <c r="T79" s="169"/>
      <c r="U79" s="169" t="s">
        <v>321</v>
      </c>
      <c r="V79" s="169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1"/>
      <c r="AM79" s="171"/>
    </row>
    <row r="80" hidden="1">
      <c r="A80" s="175" t="s">
        <v>404</v>
      </c>
      <c r="B80" s="176" t="s">
        <v>418</v>
      </c>
      <c r="C80" s="176" t="s">
        <v>333</v>
      </c>
      <c r="D80" s="176"/>
      <c r="E80" s="176" t="s">
        <v>319</v>
      </c>
      <c r="F80" s="176" t="s">
        <v>324</v>
      </c>
      <c r="G80" s="169"/>
      <c r="H80" s="169"/>
      <c r="I80" s="169"/>
      <c r="J80" s="169"/>
      <c r="K80" s="169"/>
      <c r="L80" s="172"/>
      <c r="M80" s="172"/>
      <c r="N80" s="169"/>
      <c r="O80" s="169"/>
      <c r="P80" s="169"/>
      <c r="Q80" s="169"/>
      <c r="R80" s="169"/>
      <c r="S80" s="169"/>
      <c r="T80" s="169"/>
      <c r="U80" s="169"/>
      <c r="V80" s="169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1"/>
      <c r="AM80" s="171"/>
    </row>
    <row r="81" hidden="1">
      <c r="A81" s="175" t="s">
        <v>419</v>
      </c>
      <c r="B81" s="176" t="s">
        <v>420</v>
      </c>
      <c r="C81" s="177" t="s">
        <v>208</v>
      </c>
      <c r="D81" s="176"/>
      <c r="E81" s="176" t="s">
        <v>319</v>
      </c>
      <c r="F81" s="176" t="s">
        <v>320</v>
      </c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74"/>
      <c r="U81" s="174"/>
      <c r="V81" s="174"/>
      <c r="W81" s="170"/>
      <c r="X81" s="170"/>
      <c r="Y81" s="174"/>
      <c r="Z81" s="174"/>
      <c r="AA81" s="174"/>
      <c r="AB81" s="174" t="s">
        <v>321</v>
      </c>
      <c r="AC81" s="174" t="s">
        <v>321</v>
      </c>
      <c r="AD81" s="174" t="s">
        <v>321</v>
      </c>
      <c r="AE81" s="174" t="s">
        <v>321</v>
      </c>
      <c r="AF81" s="174" t="s">
        <v>321</v>
      </c>
      <c r="AG81" s="174"/>
      <c r="AH81" s="174"/>
      <c r="AI81" s="174"/>
      <c r="AJ81" s="174"/>
      <c r="AK81" s="174"/>
      <c r="AL81" s="182"/>
      <c r="AM81" s="182"/>
    </row>
    <row r="82" hidden="1">
      <c r="A82" s="175" t="s">
        <v>421</v>
      </c>
      <c r="B82" s="176" t="s">
        <v>422</v>
      </c>
      <c r="C82" s="177" t="s">
        <v>423</v>
      </c>
      <c r="D82" s="176"/>
      <c r="E82" s="176" t="s">
        <v>319</v>
      </c>
      <c r="F82" s="176" t="s">
        <v>326</v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74"/>
      <c r="U82" s="174"/>
      <c r="V82" s="174"/>
      <c r="W82" s="170"/>
      <c r="X82" s="170"/>
      <c r="Y82" s="174"/>
      <c r="Z82" s="174"/>
      <c r="AA82" s="174" t="s">
        <v>321</v>
      </c>
      <c r="AB82" s="174"/>
      <c r="AC82" s="174" t="s">
        <v>321</v>
      </c>
      <c r="AD82" s="174" t="s">
        <v>321</v>
      </c>
      <c r="AE82" s="174" t="s">
        <v>321</v>
      </c>
      <c r="AF82" s="174" t="s">
        <v>321</v>
      </c>
      <c r="AG82" s="169" t="s">
        <v>321</v>
      </c>
      <c r="AH82" s="169" t="s">
        <v>321</v>
      </c>
      <c r="AI82" s="169"/>
      <c r="AJ82" s="169"/>
      <c r="AK82" s="169"/>
      <c r="AL82" s="178"/>
      <c r="AM82" s="178"/>
    </row>
    <row r="83" hidden="1">
      <c r="A83" s="175" t="s">
        <v>424</v>
      </c>
      <c r="B83" s="176" t="s">
        <v>425</v>
      </c>
      <c r="C83" s="177" t="s">
        <v>101</v>
      </c>
      <c r="D83" s="176"/>
      <c r="E83" s="176" t="s">
        <v>319</v>
      </c>
      <c r="F83" s="176" t="s">
        <v>324</v>
      </c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74"/>
      <c r="U83" s="174"/>
      <c r="V83" s="174"/>
      <c r="W83" s="170"/>
      <c r="X83" s="170"/>
      <c r="Y83" s="174"/>
      <c r="Z83" s="174"/>
      <c r="AA83" s="174" t="s">
        <v>321</v>
      </c>
      <c r="AB83" s="174"/>
      <c r="AC83" s="174" t="s">
        <v>321</v>
      </c>
      <c r="AD83" s="174" t="s">
        <v>321</v>
      </c>
      <c r="AE83" s="174" t="s">
        <v>321</v>
      </c>
      <c r="AF83" s="174" t="s">
        <v>321</v>
      </c>
      <c r="AG83" s="169" t="s">
        <v>321</v>
      </c>
      <c r="AH83" s="169" t="s">
        <v>321</v>
      </c>
      <c r="AI83" s="169"/>
      <c r="AJ83" s="169"/>
      <c r="AK83" s="169"/>
      <c r="AL83" s="178"/>
      <c r="AM83" s="178"/>
    </row>
    <row r="84" hidden="1">
      <c r="A84" s="175" t="s">
        <v>58</v>
      </c>
      <c r="B84" s="176" t="s">
        <v>426</v>
      </c>
      <c r="C84" s="177" t="s">
        <v>101</v>
      </c>
      <c r="D84" s="177" t="s">
        <v>75</v>
      </c>
      <c r="E84" s="176" t="s">
        <v>319</v>
      </c>
      <c r="F84" s="176" t="s">
        <v>326</v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74"/>
      <c r="U84" s="174"/>
      <c r="V84" s="174"/>
      <c r="W84" s="170"/>
      <c r="X84" s="170"/>
      <c r="Y84" s="174"/>
      <c r="Z84" s="174"/>
      <c r="AA84" s="174"/>
      <c r="AB84" s="174" t="s">
        <v>321</v>
      </c>
      <c r="AC84" s="174" t="s">
        <v>321</v>
      </c>
      <c r="AD84" s="174" t="s">
        <v>321</v>
      </c>
      <c r="AE84" s="174" t="s">
        <v>321</v>
      </c>
      <c r="AF84" s="174" t="s">
        <v>321</v>
      </c>
      <c r="AG84" s="169" t="s">
        <v>321</v>
      </c>
      <c r="AH84" s="169" t="s">
        <v>321</v>
      </c>
      <c r="AI84" s="169" t="s">
        <v>321</v>
      </c>
      <c r="AJ84" s="169"/>
      <c r="AK84" s="169"/>
      <c r="AL84" s="178"/>
      <c r="AM84" s="178"/>
    </row>
    <row r="85">
      <c r="A85" s="175" t="s">
        <v>58</v>
      </c>
      <c r="B85" s="176" t="s">
        <v>427</v>
      </c>
      <c r="C85" s="177" t="s">
        <v>101</v>
      </c>
      <c r="D85" s="176"/>
      <c r="E85" s="176" t="s">
        <v>428</v>
      </c>
      <c r="F85" s="176" t="s">
        <v>326</v>
      </c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74"/>
      <c r="U85" s="174"/>
      <c r="V85" s="174"/>
      <c r="W85" s="170"/>
      <c r="X85" s="170"/>
      <c r="Y85" s="174"/>
      <c r="Z85" s="174"/>
      <c r="AA85" s="174"/>
      <c r="AB85" s="174" t="s">
        <v>321</v>
      </c>
      <c r="AC85" s="174" t="s">
        <v>321</v>
      </c>
      <c r="AD85" s="174" t="s">
        <v>321</v>
      </c>
      <c r="AE85" s="174" t="s">
        <v>321</v>
      </c>
      <c r="AF85" s="174" t="s">
        <v>321</v>
      </c>
      <c r="AG85" s="169" t="s">
        <v>321</v>
      </c>
      <c r="AH85" s="169" t="s">
        <v>321</v>
      </c>
      <c r="AI85" s="169"/>
      <c r="AJ85" s="169" t="s">
        <v>321</v>
      </c>
      <c r="AK85" s="169"/>
      <c r="AL85" s="169" t="s">
        <v>321</v>
      </c>
      <c r="AM85" s="169" t="s">
        <v>321</v>
      </c>
    </row>
    <row r="86" hidden="1">
      <c r="A86" s="175" t="s">
        <v>58</v>
      </c>
      <c r="B86" s="176" t="s">
        <v>429</v>
      </c>
      <c r="C86" s="177" t="s">
        <v>101</v>
      </c>
      <c r="D86" s="177" t="s">
        <v>430</v>
      </c>
      <c r="E86" s="176" t="s">
        <v>319</v>
      </c>
      <c r="F86" s="176" t="s">
        <v>326</v>
      </c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74"/>
      <c r="U86" s="174"/>
      <c r="V86" s="174"/>
      <c r="W86" s="170"/>
      <c r="X86" s="170"/>
      <c r="Y86" s="174"/>
      <c r="Z86" s="174"/>
      <c r="AA86" s="174"/>
      <c r="AB86" s="174" t="s">
        <v>321</v>
      </c>
      <c r="AC86" s="174" t="s">
        <v>321</v>
      </c>
      <c r="AD86" s="174" t="s">
        <v>321</v>
      </c>
      <c r="AE86" s="174" t="s">
        <v>321</v>
      </c>
      <c r="AF86" s="174" t="s">
        <v>321</v>
      </c>
      <c r="AG86" s="169" t="s">
        <v>321</v>
      </c>
      <c r="AH86" s="169" t="s">
        <v>321</v>
      </c>
      <c r="AI86" s="169"/>
      <c r="AJ86" s="169" t="s">
        <v>321</v>
      </c>
      <c r="AK86" s="169" t="s">
        <v>321</v>
      </c>
      <c r="AL86" s="169"/>
      <c r="AM86" s="178"/>
    </row>
    <row r="87">
      <c r="A87" s="175" t="s">
        <v>431</v>
      </c>
      <c r="B87" s="176" t="s">
        <v>432</v>
      </c>
      <c r="C87" s="177" t="s">
        <v>101</v>
      </c>
      <c r="D87" s="176"/>
      <c r="E87" s="176" t="s">
        <v>428</v>
      </c>
      <c r="F87" s="176" t="s">
        <v>326</v>
      </c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74"/>
      <c r="U87" s="174"/>
      <c r="V87" s="174"/>
      <c r="W87" s="170"/>
      <c r="X87" s="170"/>
      <c r="Y87" s="174"/>
      <c r="Z87" s="174"/>
      <c r="AA87" s="174"/>
      <c r="AB87" s="174" t="s">
        <v>321</v>
      </c>
      <c r="AC87" s="174" t="s">
        <v>321</v>
      </c>
      <c r="AD87" s="174" t="s">
        <v>321</v>
      </c>
      <c r="AE87" s="174" t="s">
        <v>321</v>
      </c>
      <c r="AF87" s="174" t="s">
        <v>321</v>
      </c>
      <c r="AG87" s="169" t="s">
        <v>321</v>
      </c>
      <c r="AH87" s="169" t="s">
        <v>321</v>
      </c>
      <c r="AI87" s="169" t="s">
        <v>321</v>
      </c>
      <c r="AJ87" s="169" t="s">
        <v>321</v>
      </c>
      <c r="AK87" s="169"/>
      <c r="AL87" s="169" t="s">
        <v>321</v>
      </c>
      <c r="AM87" s="169" t="s">
        <v>321</v>
      </c>
    </row>
    <row r="88">
      <c r="A88" s="175" t="s">
        <v>85</v>
      </c>
      <c r="B88" s="176" t="s">
        <v>433</v>
      </c>
      <c r="C88" s="177" t="s">
        <v>184</v>
      </c>
      <c r="D88" s="176" t="s">
        <v>434</v>
      </c>
      <c r="E88" s="176" t="s">
        <v>428</v>
      </c>
      <c r="F88" s="176" t="s">
        <v>326</v>
      </c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74"/>
      <c r="U88" s="174"/>
      <c r="V88" s="174"/>
      <c r="W88" s="170"/>
      <c r="X88" s="170"/>
      <c r="Y88" s="174"/>
      <c r="Z88" s="174"/>
      <c r="AA88" s="174"/>
      <c r="AB88" s="174" t="s">
        <v>321</v>
      </c>
      <c r="AC88" s="174" t="s">
        <v>321</v>
      </c>
      <c r="AD88" s="174" t="s">
        <v>321</v>
      </c>
      <c r="AE88" s="174" t="s">
        <v>321</v>
      </c>
      <c r="AF88" s="174" t="s">
        <v>321</v>
      </c>
      <c r="AG88" s="169" t="s">
        <v>321</v>
      </c>
      <c r="AH88" s="169" t="s">
        <v>321</v>
      </c>
      <c r="AI88" s="169" t="s">
        <v>321</v>
      </c>
      <c r="AJ88" s="169" t="s">
        <v>321</v>
      </c>
      <c r="AK88" s="169" t="s">
        <v>321</v>
      </c>
      <c r="AL88" s="169"/>
      <c r="AM88" s="169" t="s">
        <v>321</v>
      </c>
    </row>
    <row r="89">
      <c r="A89" s="175" t="s">
        <v>85</v>
      </c>
      <c r="B89" s="176" t="s">
        <v>435</v>
      </c>
      <c r="C89" s="177" t="s">
        <v>184</v>
      </c>
      <c r="D89" s="176" t="s">
        <v>434</v>
      </c>
      <c r="E89" s="176" t="s">
        <v>428</v>
      </c>
      <c r="F89" s="176" t="s">
        <v>326</v>
      </c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74"/>
      <c r="U89" s="174"/>
      <c r="V89" s="174"/>
      <c r="W89" s="170"/>
      <c r="X89" s="170"/>
      <c r="Y89" s="174"/>
      <c r="Z89" s="174"/>
      <c r="AA89" s="174"/>
      <c r="AB89" s="174" t="s">
        <v>321</v>
      </c>
      <c r="AC89" s="174" t="s">
        <v>321</v>
      </c>
      <c r="AD89" s="174" t="s">
        <v>321</v>
      </c>
      <c r="AE89" s="174" t="s">
        <v>321</v>
      </c>
      <c r="AF89" s="174" t="s">
        <v>321</v>
      </c>
      <c r="AG89" s="169" t="s">
        <v>321</v>
      </c>
      <c r="AH89" s="169" t="s">
        <v>321</v>
      </c>
      <c r="AI89" s="169" t="s">
        <v>321</v>
      </c>
      <c r="AJ89" s="169" t="s">
        <v>321</v>
      </c>
      <c r="AK89" s="169" t="s">
        <v>321</v>
      </c>
      <c r="AL89" s="169"/>
      <c r="AM89" s="169" t="s">
        <v>321</v>
      </c>
    </row>
    <row r="90" hidden="1">
      <c r="A90" s="175" t="s">
        <v>85</v>
      </c>
      <c r="B90" s="176" t="s">
        <v>316</v>
      </c>
      <c r="C90" s="177" t="s">
        <v>184</v>
      </c>
      <c r="D90" s="176" t="s">
        <v>434</v>
      </c>
      <c r="E90" s="176" t="s">
        <v>319</v>
      </c>
      <c r="F90" s="176" t="s">
        <v>326</v>
      </c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74"/>
      <c r="U90" s="174"/>
      <c r="V90" s="174"/>
      <c r="W90" s="170"/>
      <c r="X90" s="170"/>
      <c r="Y90" s="174"/>
      <c r="Z90" s="174"/>
      <c r="AA90" s="174"/>
      <c r="AB90" s="174" t="s">
        <v>321</v>
      </c>
      <c r="AC90" s="174" t="s">
        <v>321</v>
      </c>
      <c r="AD90" s="174" t="s">
        <v>321</v>
      </c>
      <c r="AE90" s="174" t="s">
        <v>321</v>
      </c>
      <c r="AF90" s="174" t="s">
        <v>321</v>
      </c>
      <c r="AG90" s="169" t="s">
        <v>321</v>
      </c>
      <c r="AH90" s="169" t="s">
        <v>321</v>
      </c>
      <c r="AI90" s="169" t="s">
        <v>321</v>
      </c>
      <c r="AJ90" s="169" t="s">
        <v>321</v>
      </c>
      <c r="AK90" s="169" t="s">
        <v>321</v>
      </c>
      <c r="AL90" s="169"/>
      <c r="AM90" s="178"/>
    </row>
    <row r="91" hidden="1">
      <c r="A91" s="175" t="s">
        <v>436</v>
      </c>
      <c r="B91" s="176" t="s">
        <v>437</v>
      </c>
      <c r="C91" s="177" t="s">
        <v>75</v>
      </c>
      <c r="D91" s="176"/>
      <c r="E91" s="176" t="s">
        <v>319</v>
      </c>
      <c r="F91" s="176" t="s">
        <v>326</v>
      </c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74"/>
      <c r="U91" s="174"/>
      <c r="V91" s="174"/>
      <c r="W91" s="170"/>
      <c r="X91" s="170"/>
      <c r="Y91" s="174"/>
      <c r="Z91" s="174"/>
      <c r="AA91" s="174"/>
      <c r="AB91" s="174" t="s">
        <v>321</v>
      </c>
      <c r="AC91" s="174" t="s">
        <v>321</v>
      </c>
      <c r="AD91" s="174" t="s">
        <v>321</v>
      </c>
      <c r="AE91" s="174" t="s">
        <v>321</v>
      </c>
      <c r="AF91" s="174" t="s">
        <v>321</v>
      </c>
      <c r="AG91" s="169" t="s">
        <v>321</v>
      </c>
      <c r="AH91" s="169" t="s">
        <v>321</v>
      </c>
      <c r="AI91" s="169" t="s">
        <v>321</v>
      </c>
      <c r="AJ91" s="169" t="s">
        <v>321</v>
      </c>
      <c r="AK91" s="169" t="s">
        <v>321</v>
      </c>
      <c r="AL91" s="169"/>
      <c r="AM91" s="178"/>
    </row>
    <row r="92">
      <c r="A92" s="175" t="s">
        <v>85</v>
      </c>
      <c r="B92" s="176" t="s">
        <v>438</v>
      </c>
      <c r="C92" s="177" t="s">
        <v>184</v>
      </c>
      <c r="D92" s="176" t="s">
        <v>434</v>
      </c>
      <c r="E92" s="176" t="s">
        <v>428</v>
      </c>
      <c r="F92" s="176" t="s">
        <v>326</v>
      </c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74"/>
      <c r="U92" s="174"/>
      <c r="V92" s="174"/>
      <c r="W92" s="170"/>
      <c r="X92" s="170"/>
      <c r="Y92" s="174"/>
      <c r="Z92" s="174"/>
      <c r="AA92" s="174"/>
      <c r="AB92" s="174" t="s">
        <v>321</v>
      </c>
      <c r="AC92" s="174" t="s">
        <v>321</v>
      </c>
      <c r="AD92" s="174" t="s">
        <v>321</v>
      </c>
      <c r="AE92" s="174" t="s">
        <v>321</v>
      </c>
      <c r="AF92" s="174" t="s">
        <v>321</v>
      </c>
      <c r="AG92" s="169" t="s">
        <v>321</v>
      </c>
      <c r="AH92" s="169" t="s">
        <v>321</v>
      </c>
      <c r="AI92" s="169" t="s">
        <v>321</v>
      </c>
      <c r="AJ92" s="169" t="s">
        <v>321</v>
      </c>
      <c r="AK92" s="169" t="s">
        <v>321</v>
      </c>
      <c r="AL92" s="169"/>
      <c r="AM92" s="169" t="s">
        <v>321</v>
      </c>
    </row>
    <row r="93">
      <c r="A93" s="175" t="s">
        <v>85</v>
      </c>
      <c r="B93" s="176" t="s">
        <v>439</v>
      </c>
      <c r="C93" s="177" t="s">
        <v>184</v>
      </c>
      <c r="D93" s="176"/>
      <c r="E93" s="176" t="s">
        <v>428</v>
      </c>
      <c r="F93" s="176" t="s">
        <v>326</v>
      </c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74"/>
      <c r="U93" s="174"/>
      <c r="V93" s="174"/>
      <c r="W93" s="170"/>
      <c r="X93" s="170"/>
      <c r="Y93" s="174"/>
      <c r="Z93" s="174"/>
      <c r="AA93" s="174"/>
      <c r="AB93" s="174" t="s">
        <v>321</v>
      </c>
      <c r="AC93" s="174" t="s">
        <v>321</v>
      </c>
      <c r="AD93" s="174" t="s">
        <v>321</v>
      </c>
      <c r="AE93" s="174" t="s">
        <v>321</v>
      </c>
      <c r="AF93" s="174" t="s">
        <v>321</v>
      </c>
      <c r="AG93" s="169" t="s">
        <v>321</v>
      </c>
      <c r="AH93" s="169" t="s">
        <v>321</v>
      </c>
      <c r="AI93" s="169" t="s">
        <v>321</v>
      </c>
      <c r="AJ93" s="169" t="s">
        <v>321</v>
      </c>
      <c r="AK93" s="169" t="s">
        <v>321</v>
      </c>
      <c r="AL93" s="169"/>
      <c r="AM93" s="169" t="s">
        <v>321</v>
      </c>
    </row>
    <row r="94">
      <c r="A94" s="175" t="s">
        <v>436</v>
      </c>
      <c r="B94" s="176" t="s">
        <v>440</v>
      </c>
      <c r="C94" s="177" t="s">
        <v>75</v>
      </c>
      <c r="D94" s="176"/>
      <c r="E94" s="176" t="s">
        <v>428</v>
      </c>
      <c r="F94" s="176" t="s">
        <v>326</v>
      </c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74"/>
      <c r="U94" s="174"/>
      <c r="V94" s="174"/>
      <c r="W94" s="170"/>
      <c r="X94" s="170"/>
      <c r="Y94" s="174"/>
      <c r="Z94" s="174"/>
      <c r="AA94" s="174"/>
      <c r="AB94" s="174" t="s">
        <v>321</v>
      </c>
      <c r="AC94" s="174" t="s">
        <v>321</v>
      </c>
      <c r="AD94" s="174" t="s">
        <v>321</v>
      </c>
      <c r="AE94" s="174" t="s">
        <v>321</v>
      </c>
      <c r="AF94" s="174" t="s">
        <v>321</v>
      </c>
      <c r="AG94" s="169" t="s">
        <v>321</v>
      </c>
      <c r="AH94" s="169" t="s">
        <v>321</v>
      </c>
      <c r="AI94" s="169" t="s">
        <v>321</v>
      </c>
      <c r="AJ94" s="169" t="s">
        <v>321</v>
      </c>
      <c r="AK94" s="169"/>
      <c r="AL94" s="169" t="s">
        <v>321</v>
      </c>
      <c r="AM94" s="169" t="s">
        <v>321</v>
      </c>
    </row>
    <row r="95" hidden="1">
      <c r="A95" s="175" t="s">
        <v>404</v>
      </c>
      <c r="B95" s="176" t="s">
        <v>441</v>
      </c>
      <c r="C95" s="177" t="s">
        <v>75</v>
      </c>
      <c r="D95" s="176"/>
      <c r="E95" s="176" t="s">
        <v>319</v>
      </c>
      <c r="F95" s="176" t="s">
        <v>326</v>
      </c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74"/>
      <c r="U95" s="174"/>
      <c r="V95" s="174"/>
      <c r="W95" s="170"/>
      <c r="X95" s="170"/>
      <c r="Y95" s="174"/>
      <c r="Z95" s="174"/>
      <c r="AA95" s="174"/>
      <c r="AB95" s="174" t="s">
        <v>321</v>
      </c>
      <c r="AC95" s="174" t="s">
        <v>321</v>
      </c>
      <c r="AD95" s="174" t="s">
        <v>321</v>
      </c>
      <c r="AE95" s="174" t="s">
        <v>321</v>
      </c>
      <c r="AF95" s="174" t="s">
        <v>321</v>
      </c>
      <c r="AG95" s="169" t="s">
        <v>321</v>
      </c>
      <c r="AH95" s="169" t="s">
        <v>321</v>
      </c>
      <c r="AI95" s="169" t="s">
        <v>321</v>
      </c>
      <c r="AJ95" s="169"/>
      <c r="AK95" s="169"/>
      <c r="AL95" s="178"/>
      <c r="AM95" s="178"/>
    </row>
    <row r="96" hidden="1">
      <c r="A96" s="175" t="s">
        <v>85</v>
      </c>
      <c r="B96" s="176" t="s">
        <v>442</v>
      </c>
      <c r="C96" s="177" t="s">
        <v>184</v>
      </c>
      <c r="D96" s="176"/>
      <c r="E96" s="176" t="s">
        <v>319</v>
      </c>
      <c r="F96" s="176" t="s">
        <v>326</v>
      </c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74"/>
      <c r="U96" s="174"/>
      <c r="V96" s="174"/>
      <c r="W96" s="170"/>
      <c r="X96" s="170"/>
      <c r="Y96" s="174"/>
      <c r="Z96" s="174"/>
      <c r="AA96" s="174"/>
      <c r="AB96" s="174" t="s">
        <v>321</v>
      </c>
      <c r="AC96" s="174" t="s">
        <v>321</v>
      </c>
      <c r="AD96" s="174" t="s">
        <v>321</v>
      </c>
      <c r="AE96" s="174" t="s">
        <v>321</v>
      </c>
      <c r="AF96" s="174" t="s">
        <v>321</v>
      </c>
      <c r="AG96" s="169" t="s">
        <v>321</v>
      </c>
      <c r="AH96" s="169" t="s">
        <v>321</v>
      </c>
      <c r="AI96" s="169" t="s">
        <v>321</v>
      </c>
      <c r="AJ96" s="169"/>
      <c r="AK96" s="169"/>
      <c r="AL96" s="178"/>
      <c r="AM96" s="178"/>
    </row>
    <row r="97" hidden="1">
      <c r="A97" s="175" t="s">
        <v>404</v>
      </c>
      <c r="B97" s="176" t="s">
        <v>443</v>
      </c>
      <c r="C97" s="177" t="s">
        <v>75</v>
      </c>
      <c r="D97" s="176"/>
      <c r="E97" s="176" t="s">
        <v>319</v>
      </c>
      <c r="F97" s="176" t="s">
        <v>326</v>
      </c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74"/>
      <c r="U97" s="174"/>
      <c r="V97" s="174"/>
      <c r="W97" s="170"/>
      <c r="X97" s="170"/>
      <c r="Y97" s="174"/>
      <c r="Z97" s="174"/>
      <c r="AA97" s="174"/>
      <c r="AB97" s="174" t="s">
        <v>321</v>
      </c>
      <c r="AC97" s="174" t="s">
        <v>321</v>
      </c>
      <c r="AD97" s="174" t="s">
        <v>321</v>
      </c>
      <c r="AE97" s="174" t="s">
        <v>321</v>
      </c>
      <c r="AF97" s="174" t="s">
        <v>321</v>
      </c>
      <c r="AG97" s="169" t="s">
        <v>321</v>
      </c>
      <c r="AH97" s="169" t="s">
        <v>321</v>
      </c>
      <c r="AI97" s="169"/>
      <c r="AJ97" s="169"/>
      <c r="AK97" s="169"/>
      <c r="AL97" s="169" t="s">
        <v>321</v>
      </c>
      <c r="AM97" s="178"/>
    </row>
    <row r="98" hidden="1">
      <c r="A98" s="175" t="s">
        <v>404</v>
      </c>
      <c r="B98" s="176" t="s">
        <v>444</v>
      </c>
      <c r="C98" s="177" t="s">
        <v>75</v>
      </c>
      <c r="D98" s="176"/>
      <c r="E98" s="176" t="s">
        <v>319</v>
      </c>
      <c r="F98" s="176" t="s">
        <v>326</v>
      </c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74"/>
      <c r="U98" s="174"/>
      <c r="V98" s="174"/>
      <c r="W98" s="170"/>
      <c r="X98" s="170"/>
      <c r="Y98" s="174"/>
      <c r="Z98" s="174"/>
      <c r="AA98" s="174"/>
      <c r="AB98" s="174" t="s">
        <v>321</v>
      </c>
      <c r="AC98" s="174" t="s">
        <v>321</v>
      </c>
      <c r="AD98" s="174" t="s">
        <v>321</v>
      </c>
      <c r="AE98" s="174" t="s">
        <v>321</v>
      </c>
      <c r="AF98" s="174" t="s">
        <v>321</v>
      </c>
      <c r="AG98" s="169" t="s">
        <v>321</v>
      </c>
      <c r="AH98" s="169" t="s">
        <v>321</v>
      </c>
      <c r="AI98" s="169"/>
      <c r="AJ98" s="169"/>
      <c r="AK98" s="169" t="s">
        <v>321</v>
      </c>
      <c r="AL98" s="169"/>
      <c r="AM98" s="178"/>
    </row>
    <row r="99">
      <c r="A99" s="175" t="s">
        <v>436</v>
      </c>
      <c r="B99" s="176" t="s">
        <v>400</v>
      </c>
      <c r="C99" s="177" t="s">
        <v>75</v>
      </c>
      <c r="D99" s="176"/>
      <c r="E99" s="176" t="s">
        <v>428</v>
      </c>
      <c r="F99" s="176" t="s">
        <v>326</v>
      </c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74"/>
      <c r="U99" s="174"/>
      <c r="V99" s="174"/>
      <c r="W99" s="170"/>
      <c r="X99" s="170"/>
      <c r="Y99" s="174"/>
      <c r="Z99" s="174"/>
      <c r="AA99" s="174"/>
      <c r="AB99" s="174" t="s">
        <v>321</v>
      </c>
      <c r="AC99" s="174" t="s">
        <v>321</v>
      </c>
      <c r="AD99" s="174" t="s">
        <v>321</v>
      </c>
      <c r="AE99" s="174" t="s">
        <v>321</v>
      </c>
      <c r="AF99" s="174" t="s">
        <v>321</v>
      </c>
      <c r="AG99" s="169" t="s">
        <v>321</v>
      </c>
      <c r="AH99" s="169" t="s">
        <v>321</v>
      </c>
      <c r="AI99" s="169"/>
      <c r="AJ99" s="169" t="s">
        <v>321</v>
      </c>
      <c r="AK99" s="169" t="s">
        <v>321</v>
      </c>
      <c r="AL99" s="169"/>
      <c r="AM99" s="169" t="s">
        <v>321</v>
      </c>
    </row>
    <row r="100" hidden="1">
      <c r="A100" s="175" t="s">
        <v>404</v>
      </c>
      <c r="B100" s="176" t="s">
        <v>445</v>
      </c>
      <c r="C100" s="177" t="s">
        <v>75</v>
      </c>
      <c r="D100" s="176"/>
      <c r="E100" s="176" t="s">
        <v>319</v>
      </c>
      <c r="F100" s="176" t="s">
        <v>326</v>
      </c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74"/>
      <c r="U100" s="174"/>
      <c r="V100" s="174"/>
      <c r="W100" s="170"/>
      <c r="X100" s="170"/>
      <c r="Y100" s="174"/>
      <c r="Z100" s="174"/>
      <c r="AA100" s="174"/>
      <c r="AB100" s="174" t="s">
        <v>321</v>
      </c>
      <c r="AC100" s="174" t="s">
        <v>321</v>
      </c>
      <c r="AD100" s="174" t="s">
        <v>321</v>
      </c>
      <c r="AE100" s="174" t="s">
        <v>321</v>
      </c>
      <c r="AF100" s="174" t="s">
        <v>321</v>
      </c>
      <c r="AG100" s="169" t="s">
        <v>321</v>
      </c>
      <c r="AH100" s="169" t="s">
        <v>321</v>
      </c>
      <c r="AI100" s="169"/>
      <c r="AJ100" s="169"/>
      <c r="AK100" s="169" t="s">
        <v>321</v>
      </c>
      <c r="AL100" s="178"/>
      <c r="AM100" s="178"/>
    </row>
    <row r="101" hidden="1">
      <c r="A101" s="175" t="s">
        <v>364</v>
      </c>
      <c r="B101" s="176" t="s">
        <v>446</v>
      </c>
      <c r="C101" s="177" t="s">
        <v>101</v>
      </c>
      <c r="D101" s="176"/>
      <c r="E101" s="176" t="s">
        <v>319</v>
      </c>
      <c r="F101" s="176" t="s">
        <v>326</v>
      </c>
      <c r="G101" s="169"/>
      <c r="H101" s="169"/>
      <c r="I101" s="169"/>
      <c r="J101" s="169"/>
      <c r="K101" s="169"/>
      <c r="L101" s="172"/>
      <c r="M101" s="172"/>
      <c r="N101" s="169"/>
      <c r="O101" s="169"/>
      <c r="P101" s="169"/>
      <c r="Q101" s="169"/>
      <c r="R101" s="169"/>
      <c r="S101" s="169"/>
      <c r="T101" s="169"/>
      <c r="U101" s="169" t="s">
        <v>321</v>
      </c>
      <c r="V101" s="169" t="s">
        <v>321</v>
      </c>
      <c r="W101" s="169" t="s">
        <v>321</v>
      </c>
      <c r="X101" s="169" t="s">
        <v>321</v>
      </c>
      <c r="Y101" s="174" t="s">
        <v>321</v>
      </c>
      <c r="Z101" s="174"/>
      <c r="AA101" s="174"/>
      <c r="AB101" s="174" t="s">
        <v>321</v>
      </c>
      <c r="AC101" s="174" t="s">
        <v>321</v>
      </c>
      <c r="AD101" s="174"/>
      <c r="AE101" s="169"/>
      <c r="AF101" s="169"/>
      <c r="AG101" s="169"/>
      <c r="AH101" s="169"/>
      <c r="AI101" s="169"/>
      <c r="AJ101" s="169"/>
      <c r="AK101" s="169"/>
      <c r="AL101" s="178"/>
      <c r="AM101" s="178"/>
    </row>
    <row r="102">
      <c r="A102" s="175" t="s">
        <v>404</v>
      </c>
      <c r="B102" s="176" t="s">
        <v>447</v>
      </c>
      <c r="C102" s="177" t="s">
        <v>75</v>
      </c>
      <c r="D102" s="176"/>
      <c r="E102" s="176" t="s">
        <v>428</v>
      </c>
      <c r="F102" s="176" t="s">
        <v>326</v>
      </c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74"/>
      <c r="U102" s="174"/>
      <c r="V102" s="174"/>
      <c r="W102" s="170"/>
      <c r="X102" s="170"/>
      <c r="Y102" s="174"/>
      <c r="Z102" s="174"/>
      <c r="AA102" s="174"/>
      <c r="AB102" s="174" t="s">
        <v>321</v>
      </c>
      <c r="AC102" s="174" t="s">
        <v>321</v>
      </c>
      <c r="AD102" s="174" t="s">
        <v>321</v>
      </c>
      <c r="AE102" s="174" t="s">
        <v>321</v>
      </c>
      <c r="AF102" s="174" t="s">
        <v>321</v>
      </c>
      <c r="AG102" s="169" t="s">
        <v>321</v>
      </c>
      <c r="AH102" s="169" t="s">
        <v>321</v>
      </c>
      <c r="AI102" s="169"/>
      <c r="AJ102" s="169"/>
      <c r="AK102" s="169"/>
      <c r="AL102" s="169" t="s">
        <v>321</v>
      </c>
      <c r="AM102" s="169" t="s">
        <v>321</v>
      </c>
    </row>
    <row r="103">
      <c r="A103" s="175" t="s">
        <v>424</v>
      </c>
      <c r="B103" s="176" t="s">
        <v>448</v>
      </c>
      <c r="C103" s="177" t="s">
        <v>171</v>
      </c>
      <c r="D103" s="177" t="s">
        <v>208</v>
      </c>
      <c r="E103" s="176" t="s">
        <v>428</v>
      </c>
      <c r="F103" s="176" t="s">
        <v>324</v>
      </c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74"/>
      <c r="U103" s="174"/>
      <c r="V103" s="174"/>
      <c r="W103" s="170"/>
      <c r="X103" s="170"/>
      <c r="Y103" s="174"/>
      <c r="Z103" s="174"/>
      <c r="AA103" s="174" t="s">
        <v>321</v>
      </c>
      <c r="AB103" s="174"/>
      <c r="AC103" s="174" t="s">
        <v>321</v>
      </c>
      <c r="AD103" s="174" t="s">
        <v>321</v>
      </c>
      <c r="AE103" s="174"/>
      <c r="AF103" s="174" t="s">
        <v>321</v>
      </c>
      <c r="AG103" s="169" t="s">
        <v>321</v>
      </c>
      <c r="AH103" s="169" t="s">
        <v>321</v>
      </c>
      <c r="AI103" s="169" t="s">
        <v>321</v>
      </c>
      <c r="AJ103" s="169" t="s">
        <v>321</v>
      </c>
      <c r="AK103" s="169" t="s">
        <v>321</v>
      </c>
      <c r="AL103" s="169"/>
      <c r="AM103" s="169" t="s">
        <v>321</v>
      </c>
    </row>
    <row r="104" hidden="1">
      <c r="A104" s="175" t="s">
        <v>421</v>
      </c>
      <c r="B104" s="176" t="s">
        <v>449</v>
      </c>
      <c r="C104" s="177" t="s">
        <v>423</v>
      </c>
      <c r="D104" s="176"/>
      <c r="E104" s="176" t="s">
        <v>319</v>
      </c>
      <c r="F104" s="176" t="s">
        <v>326</v>
      </c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74"/>
      <c r="U104" s="174"/>
      <c r="V104" s="174"/>
      <c r="W104" s="170"/>
      <c r="X104" s="170"/>
      <c r="Y104" s="174"/>
      <c r="Z104" s="174"/>
      <c r="AA104" s="174" t="s">
        <v>321</v>
      </c>
      <c r="AB104" s="174"/>
      <c r="AC104" s="174" t="s">
        <v>321</v>
      </c>
      <c r="AD104" s="174" t="s">
        <v>321</v>
      </c>
      <c r="AE104" s="174" t="s">
        <v>321</v>
      </c>
      <c r="AF104" s="174"/>
      <c r="AG104" s="174"/>
      <c r="AH104" s="174"/>
      <c r="AI104" s="174"/>
      <c r="AJ104" s="174"/>
      <c r="AK104" s="174"/>
      <c r="AL104" s="182"/>
      <c r="AM104" s="182"/>
    </row>
    <row r="105" hidden="1">
      <c r="A105" s="175" t="s">
        <v>450</v>
      </c>
      <c r="B105" s="176" t="s">
        <v>451</v>
      </c>
      <c r="C105" s="177" t="s">
        <v>423</v>
      </c>
      <c r="D105" s="176"/>
      <c r="E105" s="176" t="s">
        <v>319</v>
      </c>
      <c r="F105" s="176" t="s">
        <v>326</v>
      </c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74"/>
      <c r="U105" s="174"/>
      <c r="V105" s="174"/>
      <c r="W105" s="170"/>
      <c r="X105" s="170"/>
      <c r="Y105" s="174"/>
      <c r="Z105" s="174"/>
      <c r="AA105" s="174" t="s">
        <v>321</v>
      </c>
      <c r="AB105" s="174"/>
      <c r="AC105" s="174" t="s">
        <v>321</v>
      </c>
      <c r="AD105" s="174" t="s">
        <v>321</v>
      </c>
      <c r="AE105" s="174" t="s">
        <v>321</v>
      </c>
      <c r="AF105" s="174"/>
      <c r="AG105" s="174"/>
      <c r="AH105" s="174"/>
      <c r="AI105" s="174"/>
      <c r="AJ105" s="174"/>
      <c r="AK105" s="174"/>
      <c r="AL105" s="182"/>
      <c r="AM105" s="182"/>
    </row>
    <row r="106" hidden="1">
      <c r="A106" s="175" t="s">
        <v>424</v>
      </c>
      <c r="B106" s="176" t="s">
        <v>452</v>
      </c>
      <c r="C106" s="177" t="s">
        <v>171</v>
      </c>
      <c r="D106" s="176"/>
      <c r="E106" s="176" t="s">
        <v>319</v>
      </c>
      <c r="F106" s="176" t="s">
        <v>324</v>
      </c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74"/>
      <c r="U106" s="174"/>
      <c r="V106" s="174"/>
      <c r="W106" s="170"/>
      <c r="X106" s="170"/>
      <c r="Y106" s="174"/>
      <c r="Z106" s="174"/>
      <c r="AA106" s="174" t="s">
        <v>321</v>
      </c>
      <c r="AB106" s="174"/>
      <c r="AC106" s="174" t="s">
        <v>321</v>
      </c>
      <c r="AD106" s="174" t="s">
        <v>321</v>
      </c>
      <c r="AE106" s="174" t="s">
        <v>321</v>
      </c>
      <c r="AF106" s="174" t="s">
        <v>321</v>
      </c>
      <c r="AG106" s="174"/>
      <c r="AH106" s="174"/>
      <c r="AI106" s="174"/>
      <c r="AJ106" s="174"/>
      <c r="AK106" s="174"/>
      <c r="AL106" s="182"/>
      <c r="AM106" s="182"/>
    </row>
    <row r="107" hidden="1">
      <c r="A107" s="175" t="s">
        <v>419</v>
      </c>
      <c r="B107" s="176" t="s">
        <v>453</v>
      </c>
      <c r="C107" s="177" t="s">
        <v>454</v>
      </c>
      <c r="D107" s="176"/>
      <c r="E107" s="176" t="s">
        <v>319</v>
      </c>
      <c r="F107" s="176" t="s">
        <v>326</v>
      </c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74"/>
      <c r="U107" s="174"/>
      <c r="V107" s="174"/>
      <c r="W107" s="170"/>
      <c r="X107" s="170"/>
      <c r="Y107" s="174"/>
      <c r="Z107" s="174"/>
      <c r="AA107" s="174" t="s">
        <v>321</v>
      </c>
      <c r="AB107" s="174" t="s">
        <v>321</v>
      </c>
      <c r="AC107" s="174" t="s">
        <v>321</v>
      </c>
      <c r="AD107" s="174" t="s">
        <v>321</v>
      </c>
      <c r="AE107" s="174" t="s">
        <v>321</v>
      </c>
      <c r="AF107" s="174"/>
      <c r="AG107" s="174"/>
      <c r="AH107" s="174"/>
      <c r="AI107" s="174"/>
      <c r="AJ107" s="174"/>
      <c r="AK107" s="174"/>
      <c r="AL107" s="182"/>
      <c r="AM107" s="182"/>
    </row>
    <row r="108" hidden="1">
      <c r="A108" s="175" t="s">
        <v>424</v>
      </c>
      <c r="B108" s="176" t="s">
        <v>455</v>
      </c>
      <c r="C108" s="177" t="s">
        <v>171</v>
      </c>
      <c r="D108" s="176"/>
      <c r="E108" s="176" t="s">
        <v>319</v>
      </c>
      <c r="F108" s="176" t="s">
        <v>324</v>
      </c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74"/>
      <c r="U108" s="174"/>
      <c r="V108" s="174"/>
      <c r="W108" s="170"/>
      <c r="X108" s="170"/>
      <c r="Y108" s="174"/>
      <c r="Z108" s="174"/>
      <c r="AA108" s="174" t="s">
        <v>321</v>
      </c>
      <c r="AB108" s="174"/>
      <c r="AC108" s="174" t="s">
        <v>321</v>
      </c>
      <c r="AD108" s="174" t="s">
        <v>321</v>
      </c>
      <c r="AE108" s="174"/>
      <c r="AF108" s="174" t="s">
        <v>321</v>
      </c>
      <c r="AG108" s="169" t="s">
        <v>321</v>
      </c>
      <c r="AH108" s="169" t="s">
        <v>321</v>
      </c>
      <c r="AI108" s="169" t="s">
        <v>321</v>
      </c>
      <c r="AJ108" s="169"/>
      <c r="AK108" s="169"/>
      <c r="AL108" s="178"/>
      <c r="AM108" s="178"/>
    </row>
    <row r="109" hidden="1">
      <c r="A109" s="175" t="s">
        <v>456</v>
      </c>
      <c r="B109" s="175" t="s">
        <v>457</v>
      </c>
      <c r="C109" s="177" t="s">
        <v>184</v>
      </c>
      <c r="D109" s="177" t="s">
        <v>458</v>
      </c>
      <c r="E109" s="176" t="s">
        <v>319</v>
      </c>
      <c r="F109" s="176" t="s">
        <v>324</v>
      </c>
      <c r="G109" s="169"/>
      <c r="H109" s="169"/>
      <c r="I109" s="169"/>
      <c r="J109" s="169"/>
      <c r="K109" s="169" t="s">
        <v>321</v>
      </c>
      <c r="L109" s="169" t="s">
        <v>321</v>
      </c>
      <c r="M109" s="172"/>
      <c r="N109" s="172"/>
      <c r="O109" s="172"/>
      <c r="P109" s="169" t="s">
        <v>321</v>
      </c>
      <c r="Q109" s="169" t="s">
        <v>321</v>
      </c>
      <c r="R109" s="169" t="s">
        <v>321</v>
      </c>
      <c r="S109" s="169" t="s">
        <v>321</v>
      </c>
      <c r="T109" s="174" t="s">
        <v>321</v>
      </c>
      <c r="U109" s="174" t="s">
        <v>321</v>
      </c>
      <c r="V109" s="174" t="s">
        <v>321</v>
      </c>
      <c r="W109" s="174" t="s">
        <v>321</v>
      </c>
      <c r="X109" s="174" t="s">
        <v>321</v>
      </c>
      <c r="Y109" s="174"/>
      <c r="Z109" s="174" t="s">
        <v>321</v>
      </c>
      <c r="AA109" s="174"/>
      <c r="AB109" s="174"/>
      <c r="AC109" s="174"/>
      <c r="AD109" s="174"/>
      <c r="AE109" s="174"/>
      <c r="AF109" s="174" t="s">
        <v>321</v>
      </c>
      <c r="AG109" s="169" t="s">
        <v>321</v>
      </c>
      <c r="AH109" s="174" t="s">
        <v>321</v>
      </c>
      <c r="AI109" s="174"/>
      <c r="AJ109" s="174"/>
      <c r="AK109" s="174"/>
      <c r="AL109" s="182"/>
      <c r="AM109" s="182"/>
    </row>
    <row r="110" hidden="1">
      <c r="A110" s="175" t="s">
        <v>459</v>
      </c>
      <c r="B110" s="176" t="s">
        <v>460</v>
      </c>
      <c r="C110" s="177" t="s">
        <v>101</v>
      </c>
      <c r="D110" s="177" t="s">
        <v>423</v>
      </c>
      <c r="E110" s="176" t="s">
        <v>319</v>
      </c>
      <c r="F110" s="176" t="s">
        <v>326</v>
      </c>
      <c r="G110" s="169"/>
      <c r="H110" s="169"/>
      <c r="I110" s="169"/>
      <c r="J110" s="169"/>
      <c r="K110" s="169"/>
      <c r="L110" s="172"/>
      <c r="M110" s="172"/>
      <c r="N110" s="169"/>
      <c r="O110" s="169"/>
      <c r="P110" s="169"/>
      <c r="Q110" s="169"/>
      <c r="R110" s="169"/>
      <c r="S110" s="169"/>
      <c r="T110" s="169"/>
      <c r="U110" s="169" t="s">
        <v>321</v>
      </c>
      <c r="V110" s="169" t="s">
        <v>321</v>
      </c>
      <c r="W110" s="169" t="s">
        <v>321</v>
      </c>
      <c r="X110" s="169" t="s">
        <v>321</v>
      </c>
      <c r="Y110" s="174" t="s">
        <v>321</v>
      </c>
      <c r="Z110" s="174"/>
      <c r="AA110" s="174" t="s">
        <v>321</v>
      </c>
      <c r="AB110" s="174" t="s">
        <v>321</v>
      </c>
      <c r="AC110" s="174"/>
      <c r="AD110" s="174"/>
      <c r="AE110" s="169"/>
      <c r="AF110" s="169"/>
      <c r="AG110" s="169"/>
      <c r="AH110" s="169"/>
      <c r="AI110" s="169"/>
      <c r="AJ110" s="169"/>
      <c r="AK110" s="169"/>
      <c r="AL110" s="178"/>
      <c r="AM110" s="178"/>
    </row>
    <row r="111" hidden="1">
      <c r="A111" s="175" t="s">
        <v>459</v>
      </c>
      <c r="B111" s="176" t="s">
        <v>461</v>
      </c>
      <c r="C111" s="177" t="s">
        <v>101</v>
      </c>
      <c r="D111" s="177" t="s">
        <v>423</v>
      </c>
      <c r="E111" s="176" t="s">
        <v>319</v>
      </c>
      <c r="F111" s="176" t="s">
        <v>326</v>
      </c>
      <c r="G111" s="169"/>
      <c r="H111" s="169"/>
      <c r="I111" s="169"/>
      <c r="J111" s="169"/>
      <c r="K111" s="169"/>
      <c r="L111" s="172"/>
      <c r="M111" s="172"/>
      <c r="N111" s="169"/>
      <c r="O111" s="169"/>
      <c r="P111" s="169"/>
      <c r="Q111" s="169"/>
      <c r="R111" s="169"/>
      <c r="S111" s="169"/>
      <c r="T111" s="169"/>
      <c r="U111" s="169" t="s">
        <v>321</v>
      </c>
      <c r="V111" s="169" t="s">
        <v>321</v>
      </c>
      <c r="W111" s="169" t="s">
        <v>321</v>
      </c>
      <c r="X111" s="169" t="s">
        <v>321</v>
      </c>
      <c r="Y111" s="174" t="s">
        <v>321</v>
      </c>
      <c r="Z111" s="174"/>
      <c r="AA111" s="174" t="s">
        <v>321</v>
      </c>
      <c r="AB111" s="174"/>
      <c r="AC111" s="174"/>
      <c r="AD111" s="174"/>
      <c r="AE111" s="169"/>
      <c r="AF111" s="169"/>
      <c r="AG111" s="169"/>
      <c r="AH111" s="169"/>
      <c r="AI111" s="169"/>
      <c r="AJ111" s="169"/>
      <c r="AK111" s="169"/>
      <c r="AL111" s="178"/>
      <c r="AM111" s="178"/>
    </row>
    <row r="112" hidden="1">
      <c r="A112" s="175" t="s">
        <v>85</v>
      </c>
      <c r="B112" s="176" t="s">
        <v>462</v>
      </c>
      <c r="C112" s="177" t="s">
        <v>184</v>
      </c>
      <c r="D112" s="177" t="s">
        <v>318</v>
      </c>
      <c r="E112" s="176" t="s">
        <v>319</v>
      </c>
      <c r="F112" s="176" t="s">
        <v>324</v>
      </c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 t="s">
        <v>321</v>
      </c>
      <c r="R112" s="169"/>
      <c r="S112" s="169" t="s">
        <v>321</v>
      </c>
      <c r="T112" s="174" t="s">
        <v>321</v>
      </c>
      <c r="U112" s="174" t="s">
        <v>321</v>
      </c>
      <c r="V112" s="174" t="s">
        <v>321</v>
      </c>
      <c r="W112" s="170"/>
      <c r="X112" s="170"/>
      <c r="Y112" s="174" t="s">
        <v>321</v>
      </c>
      <c r="Z112" s="174" t="s">
        <v>321</v>
      </c>
      <c r="AA112" s="174"/>
      <c r="AB112" s="174"/>
      <c r="AC112" s="174"/>
      <c r="AD112" s="174"/>
      <c r="AE112" s="170"/>
      <c r="AF112" s="170"/>
      <c r="AG112" s="170"/>
      <c r="AH112" s="170"/>
      <c r="AI112" s="170"/>
      <c r="AJ112" s="170"/>
      <c r="AK112" s="170"/>
      <c r="AL112" s="171"/>
      <c r="AM112" s="171"/>
    </row>
    <row r="113" hidden="1">
      <c r="A113" s="175" t="s">
        <v>85</v>
      </c>
      <c r="B113" s="176" t="s">
        <v>463</v>
      </c>
      <c r="C113" s="177" t="s">
        <v>184</v>
      </c>
      <c r="D113" s="177" t="s">
        <v>464</v>
      </c>
      <c r="E113" s="176" t="s">
        <v>319</v>
      </c>
      <c r="F113" s="176" t="s">
        <v>326</v>
      </c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 t="s">
        <v>321</v>
      </c>
      <c r="R113" s="169"/>
      <c r="S113" s="169" t="s">
        <v>321</v>
      </c>
      <c r="T113" s="174" t="s">
        <v>321</v>
      </c>
      <c r="U113" s="174" t="s">
        <v>321</v>
      </c>
      <c r="V113" s="174" t="s">
        <v>321</v>
      </c>
      <c r="W113" s="170"/>
      <c r="X113" s="170"/>
      <c r="Y113" s="174" t="s">
        <v>321</v>
      </c>
      <c r="Z113" s="174" t="s">
        <v>321</v>
      </c>
      <c r="AA113" s="174" t="s">
        <v>321</v>
      </c>
      <c r="AB113" s="174" t="s">
        <v>321</v>
      </c>
      <c r="AC113" s="174"/>
      <c r="AD113" s="174"/>
      <c r="AE113" s="170"/>
      <c r="AF113" s="170"/>
      <c r="AG113" s="170"/>
      <c r="AH113" s="170"/>
      <c r="AI113" s="170"/>
      <c r="AJ113" s="170"/>
      <c r="AK113" s="170"/>
      <c r="AL113" s="171"/>
      <c r="AM113" s="171"/>
    </row>
    <row r="114" hidden="1">
      <c r="A114" s="175" t="s">
        <v>85</v>
      </c>
      <c r="B114" s="176" t="s">
        <v>465</v>
      </c>
      <c r="C114" s="177" t="s">
        <v>184</v>
      </c>
      <c r="D114" s="177" t="s">
        <v>464</v>
      </c>
      <c r="E114" s="176" t="s">
        <v>319</v>
      </c>
      <c r="F114" s="176" t="s">
        <v>326</v>
      </c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 t="s">
        <v>321</v>
      </c>
      <c r="R114" s="169"/>
      <c r="S114" s="169" t="s">
        <v>321</v>
      </c>
      <c r="T114" s="174" t="s">
        <v>321</v>
      </c>
      <c r="U114" s="174" t="s">
        <v>321</v>
      </c>
      <c r="V114" s="174" t="s">
        <v>321</v>
      </c>
      <c r="W114" s="170"/>
      <c r="X114" s="170"/>
      <c r="Y114" s="174" t="s">
        <v>321</v>
      </c>
      <c r="Z114" s="174" t="s">
        <v>321</v>
      </c>
      <c r="AA114" s="174" t="s">
        <v>321</v>
      </c>
      <c r="AB114" s="174" t="s">
        <v>321</v>
      </c>
      <c r="AC114" s="174"/>
      <c r="AD114" s="174"/>
      <c r="AE114" s="170"/>
      <c r="AF114" s="170"/>
      <c r="AG114" s="170"/>
      <c r="AH114" s="170"/>
      <c r="AI114" s="170"/>
      <c r="AJ114" s="170"/>
      <c r="AK114" s="170"/>
      <c r="AL114" s="171"/>
      <c r="AM114" s="171"/>
    </row>
    <row r="115" hidden="1">
      <c r="A115" s="175" t="s">
        <v>85</v>
      </c>
      <c r="B115" s="176" t="s">
        <v>466</v>
      </c>
      <c r="C115" s="177" t="s">
        <v>184</v>
      </c>
      <c r="D115" s="177" t="s">
        <v>464</v>
      </c>
      <c r="E115" s="176" t="s">
        <v>319</v>
      </c>
      <c r="F115" s="176" t="s">
        <v>326</v>
      </c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 t="s">
        <v>321</v>
      </c>
      <c r="R115" s="169"/>
      <c r="S115" s="169" t="s">
        <v>321</v>
      </c>
      <c r="T115" s="174" t="s">
        <v>321</v>
      </c>
      <c r="U115" s="174" t="s">
        <v>321</v>
      </c>
      <c r="V115" s="174" t="s">
        <v>321</v>
      </c>
      <c r="W115" s="170"/>
      <c r="X115" s="170"/>
      <c r="Y115" s="174" t="s">
        <v>321</v>
      </c>
      <c r="Z115" s="174" t="s">
        <v>321</v>
      </c>
      <c r="AA115" s="174" t="s">
        <v>321</v>
      </c>
      <c r="AB115" s="174" t="s">
        <v>321</v>
      </c>
      <c r="AC115" s="174"/>
      <c r="AD115" s="174"/>
      <c r="AE115" s="170"/>
      <c r="AF115" s="170"/>
      <c r="AG115" s="170"/>
      <c r="AH115" s="170"/>
      <c r="AI115" s="170"/>
      <c r="AJ115" s="170"/>
      <c r="AK115" s="170"/>
      <c r="AL115" s="171"/>
      <c r="AM115" s="171"/>
    </row>
    <row r="116" hidden="1">
      <c r="A116" s="175" t="s">
        <v>467</v>
      </c>
      <c r="B116" s="176" t="s">
        <v>468</v>
      </c>
      <c r="C116" s="177" t="s">
        <v>101</v>
      </c>
      <c r="D116" s="176"/>
      <c r="E116" s="176" t="s">
        <v>319</v>
      </c>
      <c r="F116" s="176" t="s">
        <v>320</v>
      </c>
      <c r="G116" s="169"/>
      <c r="H116" s="169"/>
      <c r="I116" s="169"/>
      <c r="J116" s="169"/>
      <c r="K116" s="169"/>
      <c r="L116" s="172"/>
      <c r="M116" s="172"/>
      <c r="N116" s="169"/>
      <c r="O116" s="169"/>
      <c r="P116" s="169"/>
      <c r="Q116" s="169"/>
      <c r="R116" s="169"/>
      <c r="S116" s="169"/>
      <c r="T116" s="169"/>
      <c r="U116" s="169" t="s">
        <v>321</v>
      </c>
      <c r="V116" s="169" t="s">
        <v>321</v>
      </c>
      <c r="W116" s="169" t="s">
        <v>321</v>
      </c>
      <c r="X116" s="169" t="s">
        <v>321</v>
      </c>
      <c r="Y116" s="174" t="s">
        <v>321</v>
      </c>
      <c r="Z116" s="174"/>
      <c r="AA116" s="174" t="s">
        <v>321</v>
      </c>
      <c r="AB116" s="174"/>
      <c r="AC116" s="174"/>
      <c r="AD116" s="174"/>
      <c r="AE116" s="169"/>
      <c r="AF116" s="169"/>
      <c r="AG116" s="169"/>
      <c r="AH116" s="169"/>
      <c r="AI116" s="169"/>
      <c r="AJ116" s="169"/>
      <c r="AK116" s="169"/>
      <c r="AL116" s="178"/>
      <c r="AM116" s="178"/>
    </row>
    <row r="117" hidden="1">
      <c r="A117" s="175" t="s">
        <v>469</v>
      </c>
      <c r="B117" s="176" t="s">
        <v>470</v>
      </c>
      <c r="C117" s="176" t="s">
        <v>333</v>
      </c>
      <c r="D117" s="176"/>
      <c r="E117" s="176" t="s">
        <v>319</v>
      </c>
      <c r="F117" s="176" t="s">
        <v>320</v>
      </c>
      <c r="G117" s="169"/>
      <c r="H117" s="169"/>
      <c r="I117" s="169"/>
      <c r="J117" s="169"/>
      <c r="K117" s="169"/>
      <c r="L117" s="172"/>
      <c r="M117" s="172"/>
      <c r="N117" s="169"/>
      <c r="O117" s="169"/>
      <c r="P117" s="169"/>
      <c r="Q117" s="169"/>
      <c r="R117" s="169"/>
      <c r="S117" s="169"/>
      <c r="T117" s="169"/>
      <c r="U117" s="169" t="s">
        <v>321</v>
      </c>
      <c r="V117" s="169" t="s">
        <v>321</v>
      </c>
      <c r="W117" s="169" t="s">
        <v>321</v>
      </c>
      <c r="X117" s="169" t="s">
        <v>321</v>
      </c>
      <c r="Y117" s="174" t="s">
        <v>321</v>
      </c>
      <c r="Z117" s="174"/>
      <c r="AA117" s="174"/>
      <c r="AB117" s="174"/>
      <c r="AC117" s="174"/>
      <c r="AD117" s="174"/>
      <c r="AE117" s="169"/>
      <c r="AF117" s="169"/>
      <c r="AG117" s="169"/>
      <c r="AH117" s="169"/>
      <c r="AI117" s="169"/>
      <c r="AJ117" s="169"/>
      <c r="AK117" s="169"/>
      <c r="AL117" s="178"/>
      <c r="AM117" s="178"/>
    </row>
    <row r="118" hidden="1">
      <c r="A118" s="175" t="s">
        <v>471</v>
      </c>
      <c r="B118" s="176" t="s">
        <v>472</v>
      </c>
      <c r="C118" s="176" t="s">
        <v>333</v>
      </c>
      <c r="D118" s="176"/>
      <c r="E118" s="176" t="s">
        <v>319</v>
      </c>
      <c r="F118" s="176" t="s">
        <v>320</v>
      </c>
      <c r="G118" s="169"/>
      <c r="H118" s="169"/>
      <c r="I118" s="169"/>
      <c r="J118" s="169"/>
      <c r="K118" s="169"/>
      <c r="L118" s="172"/>
      <c r="M118" s="172"/>
      <c r="N118" s="169"/>
      <c r="O118" s="169"/>
      <c r="P118" s="169"/>
      <c r="Q118" s="169"/>
      <c r="R118" s="169"/>
      <c r="S118" s="169"/>
      <c r="T118" s="169"/>
      <c r="U118" s="169" t="s">
        <v>321</v>
      </c>
      <c r="V118" s="169" t="s">
        <v>321</v>
      </c>
      <c r="W118" s="169" t="s">
        <v>321</v>
      </c>
      <c r="X118" s="169" t="s">
        <v>321</v>
      </c>
      <c r="Y118" s="174" t="s">
        <v>321</v>
      </c>
      <c r="Z118" s="174"/>
      <c r="AA118" s="174"/>
      <c r="AB118" s="174"/>
      <c r="AC118" s="174"/>
      <c r="AD118" s="174"/>
      <c r="AE118" s="169"/>
      <c r="AF118" s="169"/>
      <c r="AG118" s="169"/>
      <c r="AH118" s="169"/>
      <c r="AI118" s="169"/>
      <c r="AJ118" s="169"/>
      <c r="AK118" s="169"/>
      <c r="AL118" s="178"/>
      <c r="AM118" s="178"/>
    </row>
    <row r="119" hidden="1">
      <c r="A119" s="175" t="s">
        <v>450</v>
      </c>
      <c r="B119" s="176" t="s">
        <v>473</v>
      </c>
      <c r="C119" s="176" t="s">
        <v>333</v>
      </c>
      <c r="D119" s="176"/>
      <c r="E119" s="176" t="s">
        <v>319</v>
      </c>
      <c r="F119" s="176" t="s">
        <v>324</v>
      </c>
      <c r="G119" s="169"/>
      <c r="H119" s="169"/>
      <c r="I119" s="169"/>
      <c r="J119" s="169"/>
      <c r="K119" s="169"/>
      <c r="L119" s="172"/>
      <c r="M119" s="172"/>
      <c r="N119" s="169"/>
      <c r="O119" s="169"/>
      <c r="P119" s="169"/>
      <c r="Q119" s="169"/>
      <c r="R119" s="169"/>
      <c r="S119" s="169"/>
      <c r="T119" s="169"/>
      <c r="U119" s="169" t="s">
        <v>321</v>
      </c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78"/>
      <c r="AM119" s="178"/>
    </row>
    <row r="120" hidden="1">
      <c r="A120" s="175" t="s">
        <v>394</v>
      </c>
      <c r="B120" s="176" t="s">
        <v>474</v>
      </c>
      <c r="C120" s="176" t="s">
        <v>333</v>
      </c>
      <c r="D120" s="176"/>
      <c r="E120" s="176" t="s">
        <v>319</v>
      </c>
      <c r="F120" s="176" t="s">
        <v>326</v>
      </c>
      <c r="G120" s="169"/>
      <c r="H120" s="169"/>
      <c r="I120" s="169"/>
      <c r="J120" s="169"/>
      <c r="K120" s="169"/>
      <c r="L120" s="172"/>
      <c r="M120" s="172"/>
      <c r="N120" s="169"/>
      <c r="O120" s="169"/>
      <c r="P120" s="169"/>
      <c r="Q120" s="169"/>
      <c r="R120" s="169"/>
      <c r="S120" s="169"/>
      <c r="T120" s="169"/>
      <c r="U120" s="169"/>
      <c r="V120" s="169" t="s">
        <v>321</v>
      </c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78"/>
      <c r="AM120" s="178"/>
    </row>
    <row r="121" hidden="1">
      <c r="A121" s="175" t="s">
        <v>366</v>
      </c>
      <c r="B121" s="176" t="s">
        <v>475</v>
      </c>
      <c r="C121" s="176" t="s">
        <v>333</v>
      </c>
      <c r="D121" s="176"/>
      <c r="E121" s="176" t="s">
        <v>319</v>
      </c>
      <c r="F121" s="176" t="s">
        <v>324</v>
      </c>
      <c r="G121" s="169"/>
      <c r="H121" s="169"/>
      <c r="I121" s="169"/>
      <c r="J121" s="169"/>
      <c r="K121" s="169"/>
      <c r="L121" s="172"/>
      <c r="M121" s="172"/>
      <c r="N121" s="169"/>
      <c r="O121" s="169"/>
      <c r="P121" s="169"/>
      <c r="Q121" s="169"/>
      <c r="R121" s="169"/>
      <c r="S121" s="169"/>
      <c r="T121" s="169"/>
      <c r="U121" s="169" t="s">
        <v>321</v>
      </c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78"/>
      <c r="AM121" s="178"/>
    </row>
    <row r="122" hidden="1">
      <c r="A122" s="175" t="s">
        <v>366</v>
      </c>
      <c r="B122" s="176" t="s">
        <v>476</v>
      </c>
      <c r="C122" s="176" t="s">
        <v>333</v>
      </c>
      <c r="D122" s="176"/>
      <c r="E122" s="176" t="s">
        <v>319</v>
      </c>
      <c r="F122" s="176" t="s">
        <v>324</v>
      </c>
      <c r="G122" s="169"/>
      <c r="H122" s="169"/>
      <c r="I122" s="169"/>
      <c r="J122" s="173"/>
      <c r="K122" s="173"/>
      <c r="L122" s="173"/>
      <c r="M122" s="174"/>
      <c r="N122" s="174"/>
      <c r="O122" s="174"/>
      <c r="P122" s="174" t="s">
        <v>321</v>
      </c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82"/>
      <c r="AM122" s="182"/>
    </row>
    <row r="123" hidden="1">
      <c r="A123" s="175" t="s">
        <v>477</v>
      </c>
      <c r="B123" s="176" t="s">
        <v>478</v>
      </c>
      <c r="C123" s="176" t="s">
        <v>333</v>
      </c>
      <c r="D123" s="176"/>
      <c r="E123" s="176" t="s">
        <v>319</v>
      </c>
      <c r="F123" s="176" t="s">
        <v>324</v>
      </c>
      <c r="G123" s="169"/>
      <c r="H123" s="169"/>
      <c r="I123" s="169"/>
      <c r="J123" s="173"/>
      <c r="K123" s="173"/>
      <c r="L123" s="173"/>
      <c r="M123" s="174"/>
      <c r="N123" s="174"/>
      <c r="O123" s="174"/>
      <c r="P123" s="174" t="s">
        <v>321</v>
      </c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82"/>
      <c r="AM123" s="182"/>
    </row>
    <row r="124" hidden="1">
      <c r="A124" s="175" t="s">
        <v>366</v>
      </c>
      <c r="B124" s="176" t="s">
        <v>479</v>
      </c>
      <c r="C124" s="176" t="s">
        <v>333</v>
      </c>
      <c r="D124" s="176"/>
      <c r="E124" s="176" t="s">
        <v>319</v>
      </c>
      <c r="F124" s="176" t="s">
        <v>326</v>
      </c>
      <c r="G124" s="168"/>
      <c r="H124" s="168"/>
      <c r="I124" s="173"/>
      <c r="J124" s="173"/>
      <c r="K124" s="169"/>
      <c r="L124" s="169"/>
      <c r="M124" s="174"/>
      <c r="N124" s="174"/>
      <c r="O124" s="174" t="s">
        <v>321</v>
      </c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1"/>
      <c r="AM124" s="171"/>
    </row>
    <row r="125" hidden="1">
      <c r="A125" s="175" t="s">
        <v>366</v>
      </c>
      <c r="B125" s="176" t="s">
        <v>480</v>
      </c>
      <c r="C125" s="176" t="s">
        <v>333</v>
      </c>
      <c r="D125" s="176"/>
      <c r="E125" s="176" t="s">
        <v>319</v>
      </c>
      <c r="F125" s="176" t="s">
        <v>326</v>
      </c>
      <c r="G125" s="173"/>
      <c r="H125" s="168"/>
      <c r="I125" s="173"/>
      <c r="J125" s="173"/>
      <c r="K125" s="173"/>
      <c r="L125" s="173"/>
      <c r="M125" s="170"/>
      <c r="N125" s="170"/>
      <c r="O125" s="170"/>
      <c r="P125" s="174"/>
      <c r="Q125" s="174" t="s">
        <v>321</v>
      </c>
      <c r="R125" s="174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1"/>
      <c r="AM125" s="171"/>
    </row>
    <row r="126" hidden="1">
      <c r="A126" s="175" t="s">
        <v>366</v>
      </c>
      <c r="B126" s="176" t="s">
        <v>481</v>
      </c>
      <c r="C126" s="176" t="s">
        <v>333</v>
      </c>
      <c r="D126" s="176"/>
      <c r="E126" s="176" t="s">
        <v>319</v>
      </c>
      <c r="F126" s="176" t="s">
        <v>326</v>
      </c>
      <c r="G126" s="173"/>
      <c r="H126" s="168"/>
      <c r="I126" s="173"/>
      <c r="J126" s="173"/>
      <c r="K126" s="173"/>
      <c r="L126" s="173"/>
      <c r="M126" s="170"/>
      <c r="N126" s="170"/>
      <c r="O126" s="170"/>
      <c r="P126" s="174"/>
      <c r="Q126" s="174" t="s">
        <v>321</v>
      </c>
      <c r="R126" s="174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1"/>
      <c r="AM126" s="171"/>
    </row>
    <row r="127" hidden="1">
      <c r="A127" s="175" t="s">
        <v>366</v>
      </c>
      <c r="B127" s="176" t="s">
        <v>482</v>
      </c>
      <c r="C127" s="176" t="s">
        <v>333</v>
      </c>
      <c r="D127" s="176"/>
      <c r="E127" s="176" t="s">
        <v>319</v>
      </c>
      <c r="F127" s="176" t="s">
        <v>326</v>
      </c>
      <c r="G127" s="173"/>
      <c r="H127" s="168"/>
      <c r="I127" s="173"/>
      <c r="J127" s="173"/>
      <c r="K127" s="173"/>
      <c r="L127" s="173"/>
      <c r="M127" s="170"/>
      <c r="N127" s="170"/>
      <c r="O127" s="170"/>
      <c r="P127" s="174"/>
      <c r="Q127" s="174" t="s">
        <v>321</v>
      </c>
      <c r="R127" s="174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1"/>
      <c r="AM127" s="171"/>
    </row>
    <row r="128" hidden="1">
      <c r="A128" s="175" t="s">
        <v>366</v>
      </c>
      <c r="B128" s="176" t="s">
        <v>483</v>
      </c>
      <c r="C128" s="176" t="s">
        <v>333</v>
      </c>
      <c r="D128" s="176"/>
      <c r="E128" s="176" t="s">
        <v>319</v>
      </c>
      <c r="F128" s="176" t="s">
        <v>326</v>
      </c>
      <c r="G128" s="173"/>
      <c r="H128" s="168"/>
      <c r="I128" s="173"/>
      <c r="J128" s="173"/>
      <c r="K128" s="173"/>
      <c r="L128" s="173"/>
      <c r="M128" s="170"/>
      <c r="N128" s="170"/>
      <c r="O128" s="170"/>
      <c r="P128" s="174"/>
      <c r="Q128" s="174"/>
      <c r="R128" s="174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1"/>
      <c r="AM128" s="171"/>
    </row>
    <row r="129" hidden="1">
      <c r="A129" s="175" t="s">
        <v>366</v>
      </c>
      <c r="B129" s="176" t="s">
        <v>484</v>
      </c>
      <c r="C129" s="176" t="s">
        <v>333</v>
      </c>
      <c r="D129" s="176"/>
      <c r="E129" s="176" t="s">
        <v>319</v>
      </c>
      <c r="F129" s="176" t="s">
        <v>326</v>
      </c>
      <c r="G129" s="173"/>
      <c r="H129" s="168"/>
      <c r="I129" s="173"/>
      <c r="J129" s="173"/>
      <c r="K129" s="173"/>
      <c r="L129" s="173"/>
      <c r="M129" s="170"/>
      <c r="N129" s="170"/>
      <c r="O129" s="170"/>
      <c r="P129" s="174"/>
      <c r="Q129" s="174" t="s">
        <v>321</v>
      </c>
      <c r="R129" s="174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1"/>
      <c r="AM129" s="171"/>
    </row>
    <row r="130" hidden="1">
      <c r="A130" s="175" t="s">
        <v>85</v>
      </c>
      <c r="B130" s="176" t="s">
        <v>485</v>
      </c>
      <c r="C130" s="176" t="s">
        <v>339</v>
      </c>
      <c r="D130" s="176"/>
      <c r="E130" s="176" t="s">
        <v>319</v>
      </c>
      <c r="F130" s="176" t="s">
        <v>326</v>
      </c>
      <c r="G130" s="169"/>
      <c r="H130" s="169"/>
      <c r="I130" s="169"/>
      <c r="J130" s="169"/>
      <c r="K130" s="169"/>
      <c r="L130" s="169"/>
      <c r="M130" s="169" t="s">
        <v>321</v>
      </c>
      <c r="N130" s="169" t="s">
        <v>321</v>
      </c>
      <c r="O130" s="169"/>
      <c r="P130" s="169"/>
      <c r="Q130" s="169"/>
      <c r="R130" s="169"/>
      <c r="S130" s="169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1"/>
      <c r="AM130" s="171"/>
    </row>
    <row r="131" hidden="1">
      <c r="A131" s="175" t="s">
        <v>404</v>
      </c>
      <c r="B131" s="176" t="s">
        <v>486</v>
      </c>
      <c r="C131" s="176" t="s">
        <v>333</v>
      </c>
      <c r="D131" s="176"/>
      <c r="E131" s="176" t="s">
        <v>319</v>
      </c>
      <c r="F131" s="176" t="s">
        <v>326</v>
      </c>
      <c r="G131" s="173"/>
      <c r="H131" s="168"/>
      <c r="I131" s="173"/>
      <c r="J131" s="173"/>
      <c r="K131" s="173"/>
      <c r="L131" s="169"/>
      <c r="M131" s="174"/>
      <c r="N131" s="174"/>
      <c r="O131" s="174" t="s">
        <v>321</v>
      </c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1"/>
      <c r="AM131" s="171"/>
    </row>
    <row r="132" hidden="1">
      <c r="A132" s="175" t="s">
        <v>487</v>
      </c>
      <c r="B132" s="176" t="s">
        <v>488</v>
      </c>
      <c r="C132" s="176" t="s">
        <v>333</v>
      </c>
      <c r="D132" s="176"/>
      <c r="E132" s="176" t="s">
        <v>319</v>
      </c>
      <c r="F132" s="176" t="s">
        <v>324</v>
      </c>
      <c r="G132" s="168"/>
      <c r="H132" s="168"/>
      <c r="I132" s="168"/>
      <c r="J132" s="168"/>
      <c r="K132" s="169" t="s">
        <v>321</v>
      </c>
      <c r="L132" s="169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1"/>
      <c r="AM132" s="171"/>
    </row>
    <row r="133" hidden="1">
      <c r="A133" s="175" t="s">
        <v>85</v>
      </c>
      <c r="B133" s="176" t="s">
        <v>489</v>
      </c>
      <c r="C133" s="176" t="s">
        <v>339</v>
      </c>
      <c r="D133" s="176"/>
      <c r="E133" s="176" t="s">
        <v>319</v>
      </c>
      <c r="F133" s="176" t="s">
        <v>326</v>
      </c>
      <c r="G133" s="169"/>
      <c r="H133" s="169"/>
      <c r="I133" s="169"/>
      <c r="J133" s="169"/>
      <c r="K133" s="169"/>
      <c r="L133" s="169"/>
      <c r="M133" s="169" t="s">
        <v>321</v>
      </c>
      <c r="N133" s="169" t="s">
        <v>321</v>
      </c>
      <c r="O133" s="169"/>
      <c r="P133" s="169"/>
      <c r="Q133" s="169"/>
      <c r="R133" s="169"/>
      <c r="S133" s="169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1"/>
      <c r="AM133" s="171"/>
    </row>
    <row r="134" hidden="1">
      <c r="A134" s="175" t="s">
        <v>490</v>
      </c>
      <c r="B134" s="176" t="s">
        <v>491</v>
      </c>
      <c r="C134" s="176" t="s">
        <v>333</v>
      </c>
      <c r="D134" s="176"/>
      <c r="E134" s="176" t="s">
        <v>319</v>
      </c>
      <c r="F134" s="176" t="s">
        <v>324</v>
      </c>
      <c r="G134" s="169"/>
      <c r="H134" s="169"/>
      <c r="I134" s="169"/>
      <c r="J134" s="173"/>
      <c r="K134" s="173"/>
      <c r="L134" s="173"/>
      <c r="M134" s="174"/>
      <c r="N134" s="174"/>
      <c r="O134" s="174" t="s">
        <v>321</v>
      </c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82"/>
      <c r="AM134" s="182"/>
    </row>
    <row r="135" hidden="1">
      <c r="A135" s="175" t="s">
        <v>492</v>
      </c>
      <c r="B135" s="176" t="s">
        <v>493</v>
      </c>
      <c r="C135" s="176" t="s">
        <v>323</v>
      </c>
      <c r="D135" s="176"/>
      <c r="E135" s="176" t="s">
        <v>319</v>
      </c>
      <c r="F135" s="176" t="s">
        <v>326</v>
      </c>
      <c r="G135" s="173"/>
      <c r="H135" s="168"/>
      <c r="I135" s="173"/>
      <c r="J135" s="173"/>
      <c r="K135" s="173"/>
      <c r="L135" s="169"/>
      <c r="M135" s="169"/>
      <c r="N135" s="174" t="s">
        <v>321</v>
      </c>
      <c r="O135" s="174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1"/>
      <c r="AM135" s="171"/>
    </row>
    <row r="136" hidden="1">
      <c r="A136" s="175" t="s">
        <v>494</v>
      </c>
      <c r="B136" s="176" t="s">
        <v>495</v>
      </c>
      <c r="C136" s="176" t="s">
        <v>333</v>
      </c>
      <c r="D136" s="176"/>
      <c r="E136" s="176" t="s">
        <v>319</v>
      </c>
      <c r="F136" s="176" t="s">
        <v>324</v>
      </c>
      <c r="G136" s="169"/>
      <c r="H136" s="169"/>
      <c r="I136" s="169"/>
      <c r="J136" s="173"/>
      <c r="K136" s="173"/>
      <c r="L136" s="173"/>
      <c r="M136" s="174"/>
      <c r="N136" s="174"/>
      <c r="O136" s="174" t="s">
        <v>321</v>
      </c>
      <c r="P136" s="174" t="s">
        <v>321</v>
      </c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82"/>
      <c r="AM136" s="182"/>
    </row>
    <row r="137" hidden="1">
      <c r="A137" s="175" t="s">
        <v>496</v>
      </c>
      <c r="B137" s="176" t="s">
        <v>497</v>
      </c>
      <c r="C137" s="176" t="s">
        <v>333</v>
      </c>
      <c r="D137" s="176"/>
      <c r="E137" s="176" t="s">
        <v>319</v>
      </c>
      <c r="F137" s="176" t="s">
        <v>324</v>
      </c>
      <c r="G137" s="169"/>
      <c r="H137" s="169"/>
      <c r="I137" s="169"/>
      <c r="J137" s="173"/>
      <c r="K137" s="173"/>
      <c r="L137" s="173"/>
      <c r="M137" s="174"/>
      <c r="N137" s="174"/>
      <c r="O137" s="174" t="s">
        <v>321</v>
      </c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82"/>
      <c r="AM137" s="182"/>
    </row>
    <row r="138" hidden="1">
      <c r="A138" s="175" t="s">
        <v>477</v>
      </c>
      <c r="B138" s="176" t="s">
        <v>498</v>
      </c>
      <c r="C138" s="176" t="s">
        <v>333</v>
      </c>
      <c r="D138" s="176"/>
      <c r="E138" s="176" t="s">
        <v>319</v>
      </c>
      <c r="F138" s="176" t="s">
        <v>324</v>
      </c>
      <c r="G138" s="169"/>
      <c r="H138" s="169"/>
      <c r="I138" s="169"/>
      <c r="J138" s="173"/>
      <c r="K138" s="173"/>
      <c r="L138" s="173"/>
      <c r="M138" s="174"/>
      <c r="N138" s="174"/>
      <c r="O138" s="174" t="s">
        <v>321</v>
      </c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82"/>
      <c r="AM138" s="182"/>
    </row>
    <row r="139" hidden="1">
      <c r="A139" s="176" t="s">
        <v>499</v>
      </c>
      <c r="B139" s="176" t="s">
        <v>500</v>
      </c>
      <c r="C139" s="176" t="s">
        <v>333</v>
      </c>
      <c r="D139" s="176"/>
      <c r="E139" s="176" t="s">
        <v>319</v>
      </c>
      <c r="F139" s="176" t="s">
        <v>324</v>
      </c>
      <c r="G139" s="169"/>
      <c r="H139" s="169"/>
      <c r="I139" s="169"/>
      <c r="J139" s="173"/>
      <c r="K139" s="173"/>
      <c r="L139" s="173"/>
      <c r="M139" s="174"/>
      <c r="N139" s="174"/>
      <c r="O139" s="174" t="s">
        <v>321</v>
      </c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82"/>
      <c r="AM139" s="182"/>
    </row>
    <row r="140" hidden="1">
      <c r="A140" s="175" t="s">
        <v>494</v>
      </c>
      <c r="B140" s="176" t="s">
        <v>501</v>
      </c>
      <c r="C140" s="176" t="s">
        <v>333</v>
      </c>
      <c r="D140" s="176"/>
      <c r="E140" s="176" t="s">
        <v>319</v>
      </c>
      <c r="F140" s="176" t="s">
        <v>324</v>
      </c>
      <c r="G140" s="169"/>
      <c r="H140" s="169"/>
      <c r="I140" s="169"/>
      <c r="J140" s="169"/>
      <c r="K140" s="169"/>
      <c r="L140" s="169" t="s">
        <v>321</v>
      </c>
      <c r="M140" s="169"/>
      <c r="N140" s="172"/>
      <c r="O140" s="172"/>
      <c r="P140" s="172"/>
      <c r="Q140" s="172"/>
      <c r="R140" s="172"/>
      <c r="S140" s="172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1"/>
      <c r="AM140" s="171"/>
    </row>
    <row r="141" hidden="1">
      <c r="A141" s="175" t="s">
        <v>342</v>
      </c>
      <c r="B141" s="176" t="s">
        <v>502</v>
      </c>
      <c r="C141" s="176" t="s">
        <v>323</v>
      </c>
      <c r="D141" s="176"/>
      <c r="E141" s="176" t="s">
        <v>319</v>
      </c>
      <c r="F141" s="176" t="s">
        <v>324</v>
      </c>
      <c r="G141" s="172"/>
      <c r="H141" s="169"/>
      <c r="I141" s="169"/>
      <c r="J141" s="169"/>
      <c r="K141" s="169" t="s">
        <v>321</v>
      </c>
      <c r="L141" s="169" t="s">
        <v>321</v>
      </c>
      <c r="M141" s="169"/>
      <c r="N141" s="169"/>
      <c r="O141" s="169" t="s">
        <v>321</v>
      </c>
      <c r="P141" s="169"/>
      <c r="Q141" s="169"/>
      <c r="R141" s="172"/>
      <c r="S141" s="172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1"/>
      <c r="AM141" s="171"/>
    </row>
    <row r="142" hidden="1">
      <c r="A142" s="175" t="s">
        <v>477</v>
      </c>
      <c r="B142" s="176" t="s">
        <v>503</v>
      </c>
      <c r="C142" s="176" t="s">
        <v>333</v>
      </c>
      <c r="D142" s="176"/>
      <c r="E142" s="176" t="s">
        <v>319</v>
      </c>
      <c r="F142" s="176" t="s">
        <v>320</v>
      </c>
      <c r="G142" s="173"/>
      <c r="H142" s="173"/>
      <c r="I142" s="173"/>
      <c r="J142" s="173"/>
      <c r="K142" s="173"/>
      <c r="L142" s="173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1"/>
      <c r="AM142" s="171"/>
    </row>
    <row r="143" hidden="1">
      <c r="A143" s="175" t="s">
        <v>477</v>
      </c>
      <c r="B143" s="176" t="s">
        <v>504</v>
      </c>
      <c r="C143" s="176" t="s">
        <v>333</v>
      </c>
      <c r="D143" s="176"/>
      <c r="E143" s="176" t="s">
        <v>319</v>
      </c>
      <c r="F143" s="176" t="s">
        <v>320</v>
      </c>
      <c r="G143" s="169" t="s">
        <v>321</v>
      </c>
      <c r="H143" s="169"/>
      <c r="I143" s="169"/>
      <c r="J143" s="173"/>
      <c r="K143" s="173"/>
      <c r="L143" s="173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1"/>
      <c r="AM143" s="171"/>
    </row>
    <row r="144" hidden="1">
      <c r="A144" s="175" t="s">
        <v>477</v>
      </c>
      <c r="B144" s="176" t="s">
        <v>505</v>
      </c>
      <c r="C144" s="176" t="s">
        <v>333</v>
      </c>
      <c r="D144" s="176"/>
      <c r="E144" s="176" t="s">
        <v>319</v>
      </c>
      <c r="F144" s="176" t="s">
        <v>320</v>
      </c>
      <c r="G144" s="169" t="s">
        <v>321</v>
      </c>
      <c r="H144" s="169" t="s">
        <v>321</v>
      </c>
      <c r="I144" s="169"/>
      <c r="J144" s="169" t="s">
        <v>321</v>
      </c>
      <c r="K144" s="173"/>
      <c r="L144" s="173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1"/>
      <c r="AM144" s="171"/>
    </row>
    <row r="145" hidden="1">
      <c r="A145" s="175" t="s">
        <v>477</v>
      </c>
      <c r="B145" s="176" t="s">
        <v>506</v>
      </c>
      <c r="C145" s="176" t="s">
        <v>333</v>
      </c>
      <c r="D145" s="176"/>
      <c r="E145" s="176" t="s">
        <v>319</v>
      </c>
      <c r="F145" s="176" t="s">
        <v>320</v>
      </c>
      <c r="G145" s="169"/>
      <c r="H145" s="169"/>
      <c r="I145" s="169" t="s">
        <v>321</v>
      </c>
      <c r="J145" s="169"/>
      <c r="K145" s="173"/>
      <c r="L145" s="173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1"/>
      <c r="AM145" s="171"/>
    </row>
    <row r="146" hidden="1">
      <c r="A146" s="175" t="s">
        <v>355</v>
      </c>
      <c r="B146" s="176" t="s">
        <v>507</v>
      </c>
      <c r="C146" s="176" t="s">
        <v>323</v>
      </c>
      <c r="D146" s="176"/>
      <c r="E146" s="176" t="s">
        <v>319</v>
      </c>
      <c r="F146" s="176" t="s">
        <v>326</v>
      </c>
      <c r="G146" s="168"/>
      <c r="H146" s="168"/>
      <c r="I146" s="168"/>
      <c r="J146" s="173"/>
      <c r="K146" s="168"/>
      <c r="L146" s="168"/>
      <c r="M146" s="169"/>
      <c r="N146" s="174"/>
      <c r="O146" s="174"/>
      <c r="P146" s="174" t="s">
        <v>321</v>
      </c>
      <c r="Q146" s="174" t="s">
        <v>321</v>
      </c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  <c r="AL146" s="182"/>
      <c r="AM146" s="182"/>
    </row>
    <row r="147" hidden="1">
      <c r="A147" s="175" t="s">
        <v>85</v>
      </c>
      <c r="B147" s="176" t="s">
        <v>508</v>
      </c>
      <c r="C147" s="176" t="s">
        <v>339</v>
      </c>
      <c r="D147" s="176"/>
      <c r="E147" s="176" t="s">
        <v>319</v>
      </c>
      <c r="F147" s="176" t="s">
        <v>326</v>
      </c>
      <c r="G147" s="169"/>
      <c r="H147" s="169"/>
      <c r="I147" s="169"/>
      <c r="J147" s="169"/>
      <c r="K147" s="169"/>
      <c r="L147" s="169"/>
      <c r="M147" s="169" t="s">
        <v>321</v>
      </c>
      <c r="N147" s="169" t="s">
        <v>321</v>
      </c>
      <c r="O147" s="169"/>
      <c r="P147" s="169"/>
      <c r="Q147" s="169"/>
      <c r="R147" s="169"/>
      <c r="S147" s="169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1"/>
      <c r="AM147" s="171"/>
    </row>
    <row r="148" hidden="1">
      <c r="A148" s="175" t="s">
        <v>492</v>
      </c>
      <c r="B148" s="176" t="s">
        <v>509</v>
      </c>
      <c r="C148" s="176" t="s">
        <v>323</v>
      </c>
      <c r="D148" s="176"/>
      <c r="E148" s="176" t="s">
        <v>319</v>
      </c>
      <c r="F148" s="176" t="s">
        <v>326</v>
      </c>
      <c r="G148" s="173"/>
      <c r="H148" s="168"/>
      <c r="I148" s="173"/>
      <c r="J148" s="173"/>
      <c r="K148" s="173"/>
      <c r="L148" s="169"/>
      <c r="M148" s="169"/>
      <c r="N148" s="174"/>
      <c r="O148" s="174" t="s">
        <v>321</v>
      </c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1"/>
      <c r="AM148" s="171"/>
    </row>
    <row r="149" hidden="1">
      <c r="A149" s="175" t="s">
        <v>85</v>
      </c>
      <c r="B149" s="176" t="s">
        <v>510</v>
      </c>
      <c r="C149" s="176" t="s">
        <v>339</v>
      </c>
      <c r="D149" s="176"/>
      <c r="E149" s="176" t="s">
        <v>319</v>
      </c>
      <c r="F149" s="176" t="s">
        <v>326</v>
      </c>
      <c r="G149" s="169"/>
      <c r="H149" s="169"/>
      <c r="I149" s="169" t="s">
        <v>321</v>
      </c>
      <c r="J149" s="169"/>
      <c r="K149" s="169" t="s">
        <v>321</v>
      </c>
      <c r="L149" s="169"/>
      <c r="M149" s="169"/>
      <c r="N149" s="169"/>
      <c r="O149" s="169"/>
      <c r="P149" s="169"/>
      <c r="Q149" s="169"/>
      <c r="R149" s="169"/>
      <c r="S149" s="169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170"/>
      <c r="AG149" s="170"/>
      <c r="AH149" s="170"/>
      <c r="AI149" s="170"/>
      <c r="AJ149" s="170"/>
      <c r="AK149" s="170"/>
      <c r="AL149" s="171"/>
      <c r="AM149" s="171"/>
    </row>
    <row r="150" hidden="1">
      <c r="A150" s="175" t="s">
        <v>372</v>
      </c>
      <c r="B150" s="176" t="s">
        <v>511</v>
      </c>
      <c r="C150" s="176" t="s">
        <v>333</v>
      </c>
      <c r="D150" s="176"/>
      <c r="E150" s="176" t="s">
        <v>319</v>
      </c>
      <c r="F150" s="176" t="s">
        <v>326</v>
      </c>
      <c r="G150" s="173"/>
      <c r="H150" s="168"/>
      <c r="I150" s="173"/>
      <c r="J150" s="173"/>
      <c r="K150" s="173"/>
      <c r="L150" s="173"/>
      <c r="M150" s="170"/>
      <c r="N150" s="170"/>
      <c r="O150" s="170"/>
      <c r="P150" s="170"/>
      <c r="Q150" s="170"/>
      <c r="R150" s="170"/>
      <c r="S150" s="170"/>
      <c r="T150" s="170"/>
      <c r="U150" s="168"/>
      <c r="V150" s="174" t="s">
        <v>321</v>
      </c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170"/>
      <c r="AG150" s="170"/>
      <c r="AH150" s="170"/>
      <c r="AI150" s="170"/>
      <c r="AJ150" s="170"/>
      <c r="AK150" s="170"/>
      <c r="AL150" s="171"/>
      <c r="AM150" s="171"/>
    </row>
    <row r="151" hidden="1">
      <c r="A151" s="175" t="s">
        <v>85</v>
      </c>
      <c r="B151" s="176" t="s">
        <v>512</v>
      </c>
      <c r="C151" s="176" t="s">
        <v>318</v>
      </c>
      <c r="D151" s="176"/>
      <c r="E151" s="176" t="s">
        <v>319</v>
      </c>
      <c r="F151" s="176" t="s">
        <v>324</v>
      </c>
      <c r="G151" s="168"/>
      <c r="H151" s="168"/>
      <c r="I151" s="169" t="s">
        <v>321</v>
      </c>
      <c r="J151" s="169" t="s">
        <v>321</v>
      </c>
      <c r="K151" s="169"/>
      <c r="L151" s="169"/>
      <c r="M151" s="174" t="s">
        <v>321</v>
      </c>
      <c r="N151" s="174" t="s">
        <v>321</v>
      </c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  <c r="AK151" s="170"/>
      <c r="AL151" s="171"/>
      <c r="AM151" s="171"/>
    </row>
    <row r="152" hidden="1">
      <c r="A152" s="175" t="s">
        <v>513</v>
      </c>
      <c r="B152" s="176" t="s">
        <v>514</v>
      </c>
      <c r="C152" s="176" t="s">
        <v>339</v>
      </c>
      <c r="D152" s="176"/>
      <c r="E152" s="176" t="s">
        <v>319</v>
      </c>
      <c r="F152" s="176" t="s">
        <v>324</v>
      </c>
      <c r="G152" s="169"/>
      <c r="H152" s="169"/>
      <c r="I152" s="172"/>
      <c r="J152" s="169"/>
      <c r="K152" s="172"/>
      <c r="L152" s="169"/>
      <c r="M152" s="169"/>
      <c r="N152" s="169"/>
      <c r="O152" s="169" t="s">
        <v>321</v>
      </c>
      <c r="P152" s="172"/>
      <c r="Q152" s="172"/>
      <c r="R152" s="172"/>
      <c r="S152" s="172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170"/>
      <c r="AG152" s="170"/>
      <c r="AH152" s="170"/>
      <c r="AI152" s="170"/>
      <c r="AJ152" s="170"/>
      <c r="AK152" s="170"/>
      <c r="AL152" s="171"/>
      <c r="AM152" s="171"/>
    </row>
    <row r="153" hidden="1">
      <c r="A153" s="175" t="s">
        <v>366</v>
      </c>
      <c r="B153" s="176" t="s">
        <v>515</v>
      </c>
      <c r="C153" s="176" t="s">
        <v>341</v>
      </c>
      <c r="D153" s="176"/>
      <c r="E153" s="176" t="s">
        <v>319</v>
      </c>
      <c r="F153" s="176" t="s">
        <v>326</v>
      </c>
      <c r="G153" s="173"/>
      <c r="H153" s="168"/>
      <c r="I153" s="173"/>
      <c r="J153" s="173"/>
      <c r="K153" s="173"/>
      <c r="L153" s="173"/>
      <c r="M153" s="170"/>
      <c r="N153" s="170"/>
      <c r="O153" s="170"/>
      <c r="P153" s="174"/>
      <c r="Q153" s="174" t="s">
        <v>321</v>
      </c>
      <c r="R153" s="174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170"/>
      <c r="AG153" s="170"/>
      <c r="AH153" s="170"/>
      <c r="AI153" s="170"/>
      <c r="AJ153" s="170"/>
      <c r="AK153" s="170"/>
      <c r="AL153" s="171"/>
      <c r="AM153" s="171"/>
    </row>
    <row r="154" hidden="1">
      <c r="A154" s="175" t="s">
        <v>394</v>
      </c>
      <c r="B154" s="176" t="s">
        <v>516</v>
      </c>
      <c r="C154" s="176" t="s">
        <v>341</v>
      </c>
      <c r="D154" s="176"/>
      <c r="E154" s="176" t="s">
        <v>319</v>
      </c>
      <c r="F154" s="176" t="s">
        <v>326</v>
      </c>
      <c r="G154" s="169" t="s">
        <v>321</v>
      </c>
      <c r="H154" s="169" t="s">
        <v>321</v>
      </c>
      <c r="I154" s="169" t="s">
        <v>321</v>
      </c>
      <c r="J154" s="169"/>
      <c r="K154" s="169" t="s">
        <v>321</v>
      </c>
      <c r="L154" s="169" t="s">
        <v>321</v>
      </c>
      <c r="M154" s="169" t="s">
        <v>321</v>
      </c>
      <c r="N154" s="169" t="s">
        <v>321</v>
      </c>
      <c r="O154" s="169"/>
      <c r="P154" s="169" t="s">
        <v>321</v>
      </c>
      <c r="Q154" s="169"/>
      <c r="R154" s="169"/>
      <c r="S154" s="169"/>
      <c r="T154" s="174"/>
      <c r="U154" s="174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170"/>
      <c r="AG154" s="170"/>
      <c r="AH154" s="170"/>
      <c r="AI154" s="170"/>
      <c r="AJ154" s="170"/>
      <c r="AK154" s="170"/>
      <c r="AL154" s="171"/>
      <c r="AM154" s="171"/>
    </row>
    <row r="155" hidden="1">
      <c r="A155" s="175" t="s">
        <v>517</v>
      </c>
      <c r="B155" s="176" t="s">
        <v>518</v>
      </c>
      <c r="C155" s="176" t="s">
        <v>333</v>
      </c>
      <c r="D155" s="176"/>
      <c r="E155" s="176" t="s">
        <v>319</v>
      </c>
      <c r="F155" s="176" t="s">
        <v>320</v>
      </c>
      <c r="G155" s="169" t="s">
        <v>321</v>
      </c>
      <c r="H155" s="173"/>
      <c r="I155" s="173"/>
      <c r="J155" s="173"/>
      <c r="K155" s="173"/>
      <c r="L155" s="173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170"/>
      <c r="AG155" s="170"/>
      <c r="AH155" s="170"/>
      <c r="AI155" s="170"/>
      <c r="AJ155" s="170"/>
      <c r="AK155" s="170"/>
      <c r="AL155" s="171"/>
      <c r="AM155" s="171"/>
    </row>
    <row r="156" hidden="1">
      <c r="A156" s="175" t="s">
        <v>394</v>
      </c>
      <c r="B156" s="176" t="s">
        <v>519</v>
      </c>
      <c r="C156" s="176" t="s">
        <v>341</v>
      </c>
      <c r="D156" s="176"/>
      <c r="E156" s="176" t="s">
        <v>319</v>
      </c>
      <c r="F156" s="176" t="s">
        <v>326</v>
      </c>
      <c r="G156" s="169" t="s">
        <v>321</v>
      </c>
      <c r="H156" s="169" t="s">
        <v>321</v>
      </c>
      <c r="I156" s="169" t="s">
        <v>321</v>
      </c>
      <c r="J156" s="169"/>
      <c r="K156" s="169" t="s">
        <v>321</v>
      </c>
      <c r="L156" s="169" t="s">
        <v>321</v>
      </c>
      <c r="M156" s="169" t="s">
        <v>321</v>
      </c>
      <c r="N156" s="169" t="s">
        <v>321</v>
      </c>
      <c r="O156" s="169"/>
      <c r="P156" s="169"/>
      <c r="Q156" s="169" t="s">
        <v>321</v>
      </c>
      <c r="R156" s="169" t="s">
        <v>321</v>
      </c>
      <c r="S156" s="169"/>
      <c r="T156" s="174"/>
      <c r="U156" s="174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170"/>
      <c r="AG156" s="170"/>
      <c r="AH156" s="170"/>
      <c r="AI156" s="170"/>
      <c r="AJ156" s="170"/>
      <c r="AK156" s="170"/>
      <c r="AL156" s="171"/>
      <c r="AM156" s="171"/>
    </row>
    <row r="157" hidden="1">
      <c r="A157" s="175" t="s">
        <v>394</v>
      </c>
      <c r="B157" s="176" t="s">
        <v>520</v>
      </c>
      <c r="C157" s="176" t="s">
        <v>341</v>
      </c>
      <c r="D157" s="176"/>
      <c r="E157" s="176" t="s">
        <v>319</v>
      </c>
      <c r="F157" s="176" t="s">
        <v>326</v>
      </c>
      <c r="G157" s="169" t="s">
        <v>321</v>
      </c>
      <c r="H157" s="169" t="s">
        <v>321</v>
      </c>
      <c r="I157" s="169" t="s">
        <v>321</v>
      </c>
      <c r="J157" s="169"/>
      <c r="K157" s="169" t="s">
        <v>321</v>
      </c>
      <c r="L157" s="169" t="s">
        <v>321</v>
      </c>
      <c r="M157" s="169" t="s">
        <v>321</v>
      </c>
      <c r="N157" s="169" t="s">
        <v>321</v>
      </c>
      <c r="O157" s="169"/>
      <c r="P157" s="169"/>
      <c r="Q157" s="169" t="s">
        <v>321</v>
      </c>
      <c r="R157" s="169"/>
      <c r="S157" s="169" t="s">
        <v>321</v>
      </c>
      <c r="T157" s="169" t="s">
        <v>321</v>
      </c>
      <c r="U157" s="174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170"/>
      <c r="AG157" s="170"/>
      <c r="AH157" s="170"/>
      <c r="AI157" s="170"/>
      <c r="AJ157" s="170"/>
      <c r="AK157" s="170"/>
      <c r="AL157" s="171"/>
      <c r="AM157" s="171"/>
    </row>
    <row r="158" hidden="1">
      <c r="A158" s="175" t="s">
        <v>521</v>
      </c>
      <c r="B158" s="175" t="s">
        <v>522</v>
      </c>
      <c r="C158" s="176" t="s">
        <v>341</v>
      </c>
      <c r="D158" s="176"/>
      <c r="E158" s="176" t="s">
        <v>319</v>
      </c>
      <c r="F158" s="176" t="s">
        <v>326</v>
      </c>
      <c r="G158" s="169" t="s">
        <v>321</v>
      </c>
      <c r="H158" s="169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  <c r="AK158" s="170"/>
      <c r="AL158" s="171"/>
      <c r="AM158" s="171"/>
    </row>
    <row r="159" hidden="1">
      <c r="A159" s="175" t="s">
        <v>521</v>
      </c>
      <c r="B159" s="175" t="s">
        <v>523</v>
      </c>
      <c r="C159" s="176" t="s">
        <v>341</v>
      </c>
      <c r="D159" s="176"/>
      <c r="E159" s="176" t="s">
        <v>319</v>
      </c>
      <c r="F159" s="176" t="s">
        <v>326</v>
      </c>
      <c r="G159" s="169"/>
      <c r="H159" s="169" t="s">
        <v>321</v>
      </c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170"/>
      <c r="AG159" s="170"/>
      <c r="AH159" s="170"/>
      <c r="AI159" s="170"/>
      <c r="AJ159" s="170"/>
      <c r="AK159" s="170"/>
      <c r="AL159" s="171"/>
      <c r="AM159" s="171"/>
    </row>
    <row r="160" hidden="1">
      <c r="A160" s="175" t="s">
        <v>521</v>
      </c>
      <c r="B160" s="176" t="s">
        <v>524</v>
      </c>
      <c r="C160" s="176" t="s">
        <v>341</v>
      </c>
      <c r="D160" s="176"/>
      <c r="E160" s="176" t="s">
        <v>319</v>
      </c>
      <c r="F160" s="176" t="s">
        <v>326</v>
      </c>
      <c r="G160" s="168"/>
      <c r="H160" s="168"/>
      <c r="I160" s="173"/>
      <c r="J160" s="173"/>
      <c r="K160" s="173"/>
      <c r="L160" s="173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170"/>
      <c r="AG160" s="170"/>
      <c r="AH160" s="170"/>
      <c r="AI160" s="170"/>
      <c r="AJ160" s="170"/>
      <c r="AK160" s="170"/>
      <c r="AL160" s="171"/>
      <c r="AM160" s="171"/>
    </row>
    <row r="161" hidden="1">
      <c r="A161" s="175" t="s">
        <v>513</v>
      </c>
      <c r="B161" s="176" t="s">
        <v>525</v>
      </c>
      <c r="C161" s="176" t="s">
        <v>339</v>
      </c>
      <c r="D161" s="176"/>
      <c r="E161" s="176" t="s">
        <v>319</v>
      </c>
      <c r="F161" s="176" t="s">
        <v>326</v>
      </c>
      <c r="G161" s="169" t="s">
        <v>321</v>
      </c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170"/>
      <c r="AG161" s="170"/>
      <c r="AH161" s="170"/>
      <c r="AI161" s="170"/>
      <c r="AJ161" s="170"/>
      <c r="AK161" s="170"/>
      <c r="AL161" s="171"/>
      <c r="AM161" s="171"/>
    </row>
    <row r="162" hidden="1">
      <c r="A162" s="175" t="s">
        <v>513</v>
      </c>
      <c r="B162" s="176" t="s">
        <v>526</v>
      </c>
      <c r="C162" s="176" t="s">
        <v>339</v>
      </c>
      <c r="D162" s="176"/>
      <c r="E162" s="176" t="s">
        <v>319</v>
      </c>
      <c r="F162" s="176" t="s">
        <v>326</v>
      </c>
      <c r="G162" s="169" t="s">
        <v>321</v>
      </c>
      <c r="H162" s="169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170"/>
      <c r="AG162" s="170"/>
      <c r="AH162" s="170"/>
      <c r="AI162" s="170"/>
      <c r="AJ162" s="170"/>
      <c r="AK162" s="170"/>
      <c r="AL162" s="171"/>
      <c r="AM162" s="171"/>
    </row>
    <row r="163" hidden="1">
      <c r="A163" s="175" t="s">
        <v>513</v>
      </c>
      <c r="B163" s="176" t="s">
        <v>527</v>
      </c>
      <c r="C163" s="176" t="s">
        <v>333</v>
      </c>
      <c r="D163" s="176"/>
      <c r="E163" s="176" t="s">
        <v>319</v>
      </c>
      <c r="F163" s="176" t="s">
        <v>324</v>
      </c>
      <c r="G163" s="172"/>
      <c r="H163" s="169" t="s">
        <v>321</v>
      </c>
      <c r="I163" s="169" t="s">
        <v>321</v>
      </c>
      <c r="J163" s="169"/>
      <c r="K163" s="169"/>
      <c r="L163" s="169"/>
      <c r="M163" s="169"/>
      <c r="N163" s="169"/>
      <c r="O163" s="172"/>
      <c r="P163" s="172"/>
      <c r="Q163" s="172"/>
      <c r="R163" s="172"/>
      <c r="S163" s="172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  <c r="AK163" s="170"/>
      <c r="AL163" s="171"/>
      <c r="AM163" s="171"/>
    </row>
    <row r="164" hidden="1">
      <c r="A164" s="175" t="s">
        <v>513</v>
      </c>
      <c r="B164" s="176" t="s">
        <v>528</v>
      </c>
      <c r="C164" s="176" t="s">
        <v>341</v>
      </c>
      <c r="D164" s="176"/>
      <c r="E164" s="176" t="s">
        <v>319</v>
      </c>
      <c r="F164" s="176" t="s">
        <v>324</v>
      </c>
      <c r="G164" s="168"/>
      <c r="H164" s="168"/>
      <c r="I164" s="169"/>
      <c r="J164" s="169" t="s">
        <v>321</v>
      </c>
      <c r="K164" s="169"/>
      <c r="L164" s="169"/>
      <c r="M164" s="169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1"/>
      <c r="AM164" s="171"/>
    </row>
    <row r="165" hidden="1">
      <c r="A165" s="175" t="s">
        <v>513</v>
      </c>
      <c r="B165" s="176" t="s">
        <v>529</v>
      </c>
      <c r="C165" s="176" t="s">
        <v>339</v>
      </c>
      <c r="D165" s="176"/>
      <c r="E165" s="176" t="s">
        <v>319</v>
      </c>
      <c r="F165" s="176" t="s">
        <v>324</v>
      </c>
      <c r="G165" s="169"/>
      <c r="H165" s="169"/>
      <c r="I165" s="169" t="s">
        <v>321</v>
      </c>
      <c r="J165" s="169"/>
      <c r="K165" s="169" t="s">
        <v>321</v>
      </c>
      <c r="L165" s="172"/>
      <c r="M165" s="172"/>
      <c r="N165" s="172"/>
      <c r="O165" s="172"/>
      <c r="P165" s="172"/>
      <c r="Q165" s="172"/>
      <c r="R165" s="172"/>
      <c r="S165" s="172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  <c r="AF165" s="170"/>
      <c r="AG165" s="170"/>
      <c r="AH165" s="170"/>
      <c r="AI165" s="170"/>
      <c r="AJ165" s="170"/>
      <c r="AK165" s="170"/>
      <c r="AL165" s="171"/>
      <c r="AM165" s="171"/>
    </row>
    <row r="166" hidden="1">
      <c r="A166" s="175" t="s">
        <v>513</v>
      </c>
      <c r="B166" s="176" t="s">
        <v>530</v>
      </c>
      <c r="C166" s="176" t="s">
        <v>339</v>
      </c>
      <c r="D166" s="176"/>
      <c r="E166" s="176" t="s">
        <v>319</v>
      </c>
      <c r="F166" s="176" t="s">
        <v>324</v>
      </c>
      <c r="G166" s="169"/>
      <c r="H166" s="169"/>
      <c r="I166" s="169" t="s">
        <v>321</v>
      </c>
      <c r="J166" s="169"/>
      <c r="K166" s="172"/>
      <c r="L166" s="172"/>
      <c r="M166" s="172"/>
      <c r="N166" s="172"/>
      <c r="O166" s="172"/>
      <c r="P166" s="172"/>
      <c r="Q166" s="172"/>
      <c r="R166" s="172"/>
      <c r="S166" s="172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  <c r="AF166" s="170"/>
      <c r="AG166" s="170"/>
      <c r="AH166" s="170"/>
      <c r="AI166" s="170"/>
      <c r="AJ166" s="170"/>
      <c r="AK166" s="170"/>
      <c r="AL166" s="171"/>
      <c r="AM166" s="171"/>
    </row>
    <row r="167" hidden="1">
      <c r="A167" s="175" t="s">
        <v>370</v>
      </c>
      <c r="B167" s="176" t="s">
        <v>531</v>
      </c>
      <c r="C167" s="176" t="s">
        <v>341</v>
      </c>
      <c r="D167" s="176"/>
      <c r="E167" s="176" t="s">
        <v>319</v>
      </c>
      <c r="F167" s="176" t="s">
        <v>324</v>
      </c>
      <c r="G167" s="169" t="s">
        <v>321</v>
      </c>
      <c r="H167" s="169" t="s">
        <v>321</v>
      </c>
      <c r="I167" s="169" t="s">
        <v>321</v>
      </c>
      <c r="J167" s="169"/>
      <c r="K167" s="169" t="s">
        <v>321</v>
      </c>
      <c r="L167" s="169" t="s">
        <v>321</v>
      </c>
      <c r="M167" s="169" t="s">
        <v>321</v>
      </c>
      <c r="N167" s="169" t="s">
        <v>321</v>
      </c>
      <c r="O167" s="169" t="s">
        <v>321</v>
      </c>
      <c r="P167" s="169" t="s">
        <v>321</v>
      </c>
      <c r="Q167" s="169" t="s">
        <v>321</v>
      </c>
      <c r="R167" s="169" t="s">
        <v>321</v>
      </c>
      <c r="S167" s="169" t="s">
        <v>321</v>
      </c>
      <c r="T167" s="169" t="s">
        <v>321</v>
      </c>
      <c r="U167" s="169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  <c r="AF167" s="170"/>
      <c r="AG167" s="170"/>
      <c r="AH167" s="170"/>
      <c r="AI167" s="170"/>
      <c r="AJ167" s="170"/>
      <c r="AK167" s="170"/>
      <c r="AL167" s="171"/>
      <c r="AM167" s="171"/>
    </row>
    <row r="168" hidden="1">
      <c r="A168" s="175" t="s">
        <v>532</v>
      </c>
      <c r="B168" s="176" t="s">
        <v>533</v>
      </c>
      <c r="C168" s="176" t="s">
        <v>339</v>
      </c>
      <c r="D168" s="176"/>
      <c r="E168" s="176" t="s">
        <v>319</v>
      </c>
      <c r="F168" s="176" t="s">
        <v>326</v>
      </c>
      <c r="G168" s="169" t="s">
        <v>321</v>
      </c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0"/>
      <c r="AJ168" s="170"/>
      <c r="AK168" s="170"/>
      <c r="AL168" s="171"/>
      <c r="AM168" s="171"/>
    </row>
    <row r="169" hidden="1">
      <c r="A169" s="175" t="s">
        <v>370</v>
      </c>
      <c r="B169" s="176" t="s">
        <v>534</v>
      </c>
      <c r="C169" s="176" t="s">
        <v>341</v>
      </c>
      <c r="D169" s="176"/>
      <c r="E169" s="176" t="s">
        <v>319</v>
      </c>
      <c r="F169" s="176" t="s">
        <v>326</v>
      </c>
      <c r="G169" s="169" t="s">
        <v>321</v>
      </c>
      <c r="H169" s="169" t="s">
        <v>321</v>
      </c>
      <c r="I169" s="169" t="s">
        <v>321</v>
      </c>
      <c r="J169" s="169"/>
      <c r="K169" s="169" t="s">
        <v>321</v>
      </c>
      <c r="L169" s="169" t="s">
        <v>321</v>
      </c>
      <c r="M169" s="169" t="s">
        <v>321</v>
      </c>
      <c r="N169" s="169" t="s">
        <v>321</v>
      </c>
      <c r="O169" s="169" t="s">
        <v>321</v>
      </c>
      <c r="P169" s="169" t="s">
        <v>321</v>
      </c>
      <c r="Q169" s="169"/>
      <c r="R169" s="169"/>
      <c r="S169" s="169"/>
      <c r="T169" s="174"/>
      <c r="U169" s="174" t="s">
        <v>321</v>
      </c>
      <c r="V169" s="174"/>
      <c r="W169" s="170"/>
      <c r="X169" s="170"/>
      <c r="Y169" s="170"/>
      <c r="Z169" s="170"/>
      <c r="AA169" s="170"/>
      <c r="AB169" s="170"/>
      <c r="AC169" s="170"/>
      <c r="AD169" s="170"/>
      <c r="AE169" s="170"/>
      <c r="AF169" s="170"/>
      <c r="AG169" s="170"/>
      <c r="AH169" s="170"/>
      <c r="AI169" s="170"/>
      <c r="AJ169" s="170"/>
      <c r="AK169" s="170"/>
      <c r="AL169" s="171"/>
      <c r="AM169" s="171"/>
    </row>
    <row r="170" hidden="1">
      <c r="A170" s="175" t="s">
        <v>450</v>
      </c>
      <c r="B170" s="176" t="s">
        <v>535</v>
      </c>
      <c r="C170" s="177" t="s">
        <v>208</v>
      </c>
      <c r="D170" s="176"/>
      <c r="E170" s="176" t="s">
        <v>319</v>
      </c>
      <c r="F170" s="176" t="s">
        <v>326</v>
      </c>
      <c r="G170" s="169" t="s">
        <v>321</v>
      </c>
      <c r="H170" s="169" t="s">
        <v>321</v>
      </c>
      <c r="I170" s="169" t="s">
        <v>321</v>
      </c>
      <c r="J170" s="169"/>
      <c r="K170" s="169" t="s">
        <v>321</v>
      </c>
      <c r="L170" s="169" t="s">
        <v>321</v>
      </c>
      <c r="M170" s="169" t="s">
        <v>321</v>
      </c>
      <c r="N170" s="169" t="s">
        <v>321</v>
      </c>
      <c r="O170" s="169" t="s">
        <v>321</v>
      </c>
      <c r="P170" s="169" t="s">
        <v>321</v>
      </c>
      <c r="Q170" s="169"/>
      <c r="R170" s="169"/>
      <c r="S170" s="169"/>
      <c r="T170" s="174"/>
      <c r="U170" s="174" t="s">
        <v>321</v>
      </c>
      <c r="V170" s="174" t="s">
        <v>321</v>
      </c>
      <c r="W170" s="170"/>
      <c r="X170" s="170"/>
      <c r="Y170" s="174" t="s">
        <v>321</v>
      </c>
      <c r="Z170" s="174" t="s">
        <v>321</v>
      </c>
      <c r="AA170" s="174" t="s">
        <v>321</v>
      </c>
      <c r="AB170" s="174"/>
      <c r="AC170" s="174"/>
      <c r="AD170" s="174"/>
      <c r="AE170" s="170"/>
      <c r="AF170" s="170"/>
      <c r="AG170" s="170"/>
      <c r="AH170" s="170"/>
      <c r="AI170" s="170"/>
      <c r="AJ170" s="170"/>
      <c r="AK170" s="170"/>
      <c r="AL170" s="171"/>
      <c r="AM170" s="171"/>
    </row>
    <row r="171" hidden="1">
      <c r="A171" s="175" t="s">
        <v>450</v>
      </c>
      <c r="B171" s="176" t="s">
        <v>536</v>
      </c>
      <c r="C171" s="177" t="s">
        <v>208</v>
      </c>
      <c r="D171" s="176"/>
      <c r="E171" s="176" t="s">
        <v>319</v>
      </c>
      <c r="F171" s="176" t="s">
        <v>326</v>
      </c>
      <c r="G171" s="169" t="s">
        <v>321</v>
      </c>
      <c r="H171" s="169" t="s">
        <v>321</v>
      </c>
      <c r="I171" s="169" t="s">
        <v>321</v>
      </c>
      <c r="J171" s="169"/>
      <c r="K171" s="169" t="s">
        <v>321</v>
      </c>
      <c r="L171" s="169" t="s">
        <v>321</v>
      </c>
      <c r="M171" s="169" t="s">
        <v>321</v>
      </c>
      <c r="N171" s="169" t="s">
        <v>321</v>
      </c>
      <c r="O171" s="169" t="s">
        <v>321</v>
      </c>
      <c r="P171" s="169" t="s">
        <v>321</v>
      </c>
      <c r="Q171" s="169"/>
      <c r="R171" s="169"/>
      <c r="S171" s="169"/>
      <c r="T171" s="174"/>
      <c r="U171" s="174" t="s">
        <v>321</v>
      </c>
      <c r="V171" s="174" t="s">
        <v>321</v>
      </c>
      <c r="W171" s="170"/>
      <c r="X171" s="170"/>
      <c r="Y171" s="174" t="s">
        <v>321</v>
      </c>
      <c r="Z171" s="174" t="s">
        <v>321</v>
      </c>
      <c r="AA171" s="174" t="s">
        <v>321</v>
      </c>
      <c r="AB171" s="174"/>
      <c r="AC171" s="174"/>
      <c r="AD171" s="174"/>
      <c r="AE171" s="170"/>
      <c r="AF171" s="170"/>
      <c r="AG171" s="170"/>
      <c r="AH171" s="170"/>
      <c r="AI171" s="170"/>
      <c r="AJ171" s="170"/>
      <c r="AK171" s="170"/>
      <c r="AL171" s="171"/>
      <c r="AM171" s="171"/>
    </row>
    <row r="172" hidden="1">
      <c r="A172" s="175" t="s">
        <v>450</v>
      </c>
      <c r="B172" s="176" t="s">
        <v>537</v>
      </c>
      <c r="C172" s="177" t="s">
        <v>208</v>
      </c>
      <c r="D172" s="176"/>
      <c r="E172" s="176" t="s">
        <v>319</v>
      </c>
      <c r="F172" s="176" t="s">
        <v>326</v>
      </c>
      <c r="G172" s="169" t="s">
        <v>321</v>
      </c>
      <c r="H172" s="169" t="s">
        <v>321</v>
      </c>
      <c r="I172" s="169" t="s">
        <v>321</v>
      </c>
      <c r="J172" s="169"/>
      <c r="K172" s="169" t="s">
        <v>321</v>
      </c>
      <c r="L172" s="169" t="s">
        <v>321</v>
      </c>
      <c r="M172" s="169" t="s">
        <v>321</v>
      </c>
      <c r="N172" s="169" t="s">
        <v>321</v>
      </c>
      <c r="O172" s="169" t="s">
        <v>321</v>
      </c>
      <c r="P172" s="169" t="s">
        <v>321</v>
      </c>
      <c r="Q172" s="169"/>
      <c r="R172" s="169"/>
      <c r="S172" s="169"/>
      <c r="T172" s="174"/>
      <c r="U172" s="174" t="s">
        <v>321</v>
      </c>
      <c r="V172" s="174" t="s">
        <v>321</v>
      </c>
      <c r="W172" s="170"/>
      <c r="X172" s="170"/>
      <c r="Y172" s="174" t="s">
        <v>321</v>
      </c>
      <c r="Z172" s="174" t="s">
        <v>321</v>
      </c>
      <c r="AA172" s="174" t="s">
        <v>321</v>
      </c>
      <c r="AB172" s="174"/>
      <c r="AC172" s="174"/>
      <c r="AD172" s="174"/>
      <c r="AE172" s="170"/>
      <c r="AF172" s="170"/>
      <c r="AG172" s="170"/>
      <c r="AH172" s="170"/>
      <c r="AI172" s="170"/>
      <c r="AJ172" s="170"/>
      <c r="AK172" s="170"/>
      <c r="AL172" s="171"/>
      <c r="AM172" s="171"/>
    </row>
    <row r="173" hidden="1">
      <c r="A173" s="175" t="s">
        <v>419</v>
      </c>
      <c r="B173" s="176" t="s">
        <v>538</v>
      </c>
      <c r="C173" s="177" t="s">
        <v>208</v>
      </c>
      <c r="D173" s="176"/>
      <c r="E173" s="176" t="s">
        <v>319</v>
      </c>
      <c r="F173" s="176" t="s">
        <v>326</v>
      </c>
      <c r="G173" s="169" t="s">
        <v>321</v>
      </c>
      <c r="H173" s="169" t="s">
        <v>321</v>
      </c>
      <c r="I173" s="169" t="s">
        <v>321</v>
      </c>
      <c r="J173" s="169"/>
      <c r="K173" s="169" t="s">
        <v>321</v>
      </c>
      <c r="L173" s="169" t="s">
        <v>321</v>
      </c>
      <c r="M173" s="169" t="s">
        <v>321</v>
      </c>
      <c r="N173" s="169" t="s">
        <v>321</v>
      </c>
      <c r="O173" s="169" t="s">
        <v>321</v>
      </c>
      <c r="P173" s="169" t="s">
        <v>321</v>
      </c>
      <c r="Q173" s="169"/>
      <c r="R173" s="169"/>
      <c r="S173" s="169"/>
      <c r="T173" s="174"/>
      <c r="U173" s="174" t="s">
        <v>321</v>
      </c>
      <c r="V173" s="174" t="s">
        <v>321</v>
      </c>
      <c r="W173" s="170"/>
      <c r="X173" s="170"/>
      <c r="Y173" s="174" t="s">
        <v>321</v>
      </c>
      <c r="Z173" s="174" t="s">
        <v>321</v>
      </c>
      <c r="AA173" s="174" t="s">
        <v>321</v>
      </c>
      <c r="AB173" s="174"/>
      <c r="AC173" s="174"/>
      <c r="AD173" s="174"/>
      <c r="AE173" s="170"/>
      <c r="AF173" s="170"/>
      <c r="AG173" s="170"/>
      <c r="AH173" s="170"/>
      <c r="AI173" s="170"/>
      <c r="AJ173" s="170"/>
      <c r="AK173" s="170"/>
      <c r="AL173" s="171"/>
      <c r="AM173" s="171"/>
    </row>
    <row r="174" hidden="1">
      <c r="A174" s="175" t="s">
        <v>424</v>
      </c>
      <c r="B174" s="176" t="s">
        <v>539</v>
      </c>
      <c r="C174" s="177" t="s">
        <v>171</v>
      </c>
      <c r="D174" s="176"/>
      <c r="E174" s="176" t="s">
        <v>319</v>
      </c>
      <c r="F174" s="176" t="s">
        <v>326</v>
      </c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74"/>
      <c r="U174" s="174"/>
      <c r="V174" s="174"/>
      <c r="W174" s="170"/>
      <c r="X174" s="170"/>
      <c r="Y174" s="174"/>
      <c r="Z174" s="174"/>
      <c r="AA174" s="174" t="s">
        <v>321</v>
      </c>
      <c r="AB174" s="174" t="s">
        <v>321</v>
      </c>
      <c r="AC174" s="174" t="s">
        <v>321</v>
      </c>
      <c r="AD174" s="174" t="s">
        <v>321</v>
      </c>
      <c r="AE174" s="170"/>
      <c r="AF174" s="170"/>
      <c r="AG174" s="170"/>
      <c r="AH174" s="170"/>
      <c r="AI174" s="170"/>
      <c r="AJ174" s="170"/>
      <c r="AK174" s="170"/>
      <c r="AL174" s="171"/>
      <c r="AM174" s="171"/>
    </row>
    <row r="175" hidden="1">
      <c r="A175" s="175" t="s">
        <v>424</v>
      </c>
      <c r="B175" s="176" t="s">
        <v>540</v>
      </c>
      <c r="C175" s="177" t="s">
        <v>171</v>
      </c>
      <c r="D175" s="176"/>
      <c r="E175" s="176" t="s">
        <v>319</v>
      </c>
      <c r="F175" s="176" t="s">
        <v>326</v>
      </c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74"/>
      <c r="U175" s="174"/>
      <c r="V175" s="174"/>
      <c r="W175" s="170"/>
      <c r="X175" s="170"/>
      <c r="Y175" s="174"/>
      <c r="Z175" s="174"/>
      <c r="AA175" s="174" t="s">
        <v>321</v>
      </c>
      <c r="AB175" s="174" t="s">
        <v>321</v>
      </c>
      <c r="AC175" s="174"/>
      <c r="AD175" s="174"/>
      <c r="AE175" s="170"/>
      <c r="AF175" s="170"/>
      <c r="AG175" s="170"/>
      <c r="AH175" s="170"/>
      <c r="AI175" s="170"/>
      <c r="AJ175" s="170"/>
      <c r="AK175" s="170"/>
      <c r="AL175" s="171"/>
      <c r="AM175" s="171"/>
    </row>
    <row r="176" hidden="1">
      <c r="A176" s="175" t="s">
        <v>450</v>
      </c>
      <c r="B176" s="176" t="s">
        <v>541</v>
      </c>
      <c r="C176" s="177" t="s">
        <v>423</v>
      </c>
      <c r="D176" s="177" t="s">
        <v>171</v>
      </c>
      <c r="E176" s="176" t="s">
        <v>319</v>
      </c>
      <c r="F176" s="176" t="s">
        <v>324</v>
      </c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74"/>
      <c r="U176" s="174"/>
      <c r="V176" s="174"/>
      <c r="W176" s="170"/>
      <c r="X176" s="170"/>
      <c r="Y176" s="174"/>
      <c r="Z176" s="174"/>
      <c r="AA176" s="174" t="s">
        <v>321</v>
      </c>
      <c r="AB176" s="174" t="s">
        <v>321</v>
      </c>
      <c r="AC176" s="174"/>
      <c r="AD176" s="174"/>
      <c r="AE176" s="170"/>
      <c r="AF176" s="170"/>
      <c r="AG176" s="170"/>
      <c r="AH176" s="170"/>
      <c r="AI176" s="170"/>
      <c r="AJ176" s="170"/>
      <c r="AK176" s="170"/>
      <c r="AL176" s="171"/>
      <c r="AM176" s="171"/>
    </row>
    <row r="177" hidden="1">
      <c r="A177" s="175" t="s">
        <v>456</v>
      </c>
      <c r="B177" s="175" t="s">
        <v>542</v>
      </c>
      <c r="C177" s="177" t="s">
        <v>184</v>
      </c>
      <c r="D177" s="177" t="s">
        <v>454</v>
      </c>
      <c r="E177" s="176" t="s">
        <v>319</v>
      </c>
      <c r="F177" s="176" t="s">
        <v>324</v>
      </c>
      <c r="G177" s="169"/>
      <c r="H177" s="169"/>
      <c r="I177" s="169"/>
      <c r="J177" s="169"/>
      <c r="K177" s="169" t="s">
        <v>321</v>
      </c>
      <c r="L177" s="169" t="s">
        <v>321</v>
      </c>
      <c r="M177" s="172"/>
      <c r="N177" s="172"/>
      <c r="O177" s="172"/>
      <c r="P177" s="169" t="s">
        <v>321</v>
      </c>
      <c r="Q177" s="169" t="s">
        <v>321</v>
      </c>
      <c r="R177" s="169" t="s">
        <v>321</v>
      </c>
      <c r="S177" s="169" t="s">
        <v>321</v>
      </c>
      <c r="T177" s="174" t="s">
        <v>321</v>
      </c>
      <c r="U177" s="174" t="s">
        <v>321</v>
      </c>
      <c r="V177" s="174" t="s">
        <v>321</v>
      </c>
      <c r="W177" s="174" t="s">
        <v>321</v>
      </c>
      <c r="X177" s="174" t="s">
        <v>321</v>
      </c>
      <c r="Y177" s="174"/>
      <c r="Z177" s="174" t="s">
        <v>321</v>
      </c>
      <c r="AA177" s="174"/>
      <c r="AB177" s="174"/>
      <c r="AC177" s="174"/>
      <c r="AD177" s="174"/>
      <c r="AE177" s="174"/>
      <c r="AF177" s="174" t="s">
        <v>321</v>
      </c>
      <c r="AG177" s="169" t="s">
        <v>321</v>
      </c>
      <c r="AH177" s="169" t="s">
        <v>321</v>
      </c>
      <c r="AI177" s="169"/>
      <c r="AJ177" s="169"/>
      <c r="AK177" s="169"/>
      <c r="AL177" s="178"/>
      <c r="AM177" s="178"/>
    </row>
    <row r="178" hidden="1">
      <c r="A178" s="175" t="s">
        <v>85</v>
      </c>
      <c r="B178" s="175" t="s">
        <v>543</v>
      </c>
      <c r="C178" s="177" t="s">
        <v>184</v>
      </c>
      <c r="D178" s="176"/>
      <c r="E178" s="176" t="s">
        <v>319</v>
      </c>
      <c r="F178" s="176" t="s">
        <v>326</v>
      </c>
      <c r="G178" s="169"/>
      <c r="H178" s="169"/>
      <c r="I178" s="169"/>
      <c r="J178" s="169"/>
      <c r="K178" s="169" t="s">
        <v>321</v>
      </c>
      <c r="L178" s="169" t="s">
        <v>321</v>
      </c>
      <c r="M178" s="172"/>
      <c r="N178" s="172"/>
      <c r="O178" s="172"/>
      <c r="P178" s="169" t="s">
        <v>321</v>
      </c>
      <c r="Q178" s="169" t="s">
        <v>321</v>
      </c>
      <c r="R178" s="169" t="s">
        <v>321</v>
      </c>
      <c r="S178" s="169" t="s">
        <v>321</v>
      </c>
      <c r="T178" s="174" t="s">
        <v>321</v>
      </c>
      <c r="U178" s="174" t="s">
        <v>321</v>
      </c>
      <c r="V178" s="174" t="s">
        <v>321</v>
      </c>
      <c r="W178" s="174" t="s">
        <v>321</v>
      </c>
      <c r="X178" s="174" t="s">
        <v>321</v>
      </c>
      <c r="Y178" s="174"/>
      <c r="Z178" s="174" t="s">
        <v>321</v>
      </c>
      <c r="AA178" s="174"/>
      <c r="AB178" s="174"/>
      <c r="AC178" s="174"/>
      <c r="AD178" s="174"/>
      <c r="AE178" s="174" t="s">
        <v>321</v>
      </c>
      <c r="AF178" s="174" t="s">
        <v>321</v>
      </c>
      <c r="AG178" s="169" t="s">
        <v>321</v>
      </c>
      <c r="AH178" s="169" t="s">
        <v>321</v>
      </c>
      <c r="AI178" s="169"/>
      <c r="AJ178" s="169"/>
      <c r="AK178" s="169"/>
      <c r="AL178" s="178"/>
      <c r="AM178" s="178"/>
    </row>
    <row r="179" hidden="1">
      <c r="A179" s="175" t="s">
        <v>424</v>
      </c>
      <c r="B179" s="176" t="s">
        <v>544</v>
      </c>
      <c r="C179" s="177" t="s">
        <v>171</v>
      </c>
      <c r="D179" s="176"/>
      <c r="E179" s="176" t="s">
        <v>319</v>
      </c>
      <c r="F179" s="176" t="s">
        <v>324</v>
      </c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74"/>
      <c r="U179" s="174"/>
      <c r="V179" s="174"/>
      <c r="W179" s="170"/>
      <c r="X179" s="170"/>
      <c r="Y179" s="174"/>
      <c r="Z179" s="174"/>
      <c r="AA179" s="174" t="s">
        <v>321</v>
      </c>
      <c r="AB179" s="174"/>
      <c r="AC179" s="174" t="s">
        <v>321</v>
      </c>
      <c r="AD179" s="174" t="s">
        <v>321</v>
      </c>
      <c r="AE179" s="174"/>
      <c r="AF179" s="174" t="s">
        <v>321</v>
      </c>
      <c r="AG179" s="169" t="s">
        <v>321</v>
      </c>
      <c r="AH179" s="169" t="s">
        <v>321</v>
      </c>
      <c r="AI179" s="169" t="s">
        <v>321</v>
      </c>
      <c r="AJ179" s="169"/>
      <c r="AK179" s="169"/>
      <c r="AL179" s="178"/>
      <c r="AM179" s="178"/>
    </row>
    <row r="180">
      <c r="A180" s="175" t="s">
        <v>545</v>
      </c>
      <c r="B180" s="176" t="s">
        <v>546</v>
      </c>
      <c r="C180" s="177" t="s">
        <v>171</v>
      </c>
      <c r="D180" s="177" t="s">
        <v>159</v>
      </c>
      <c r="E180" s="176" t="s">
        <v>428</v>
      </c>
      <c r="F180" s="176" t="s">
        <v>326</v>
      </c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74"/>
      <c r="U180" s="174"/>
      <c r="V180" s="174"/>
      <c r="W180" s="170"/>
      <c r="X180" s="170"/>
      <c r="Y180" s="174"/>
      <c r="Z180" s="174"/>
      <c r="AA180" s="174"/>
      <c r="AB180" s="174" t="s">
        <v>321</v>
      </c>
      <c r="AC180" s="174" t="s">
        <v>321</v>
      </c>
      <c r="AD180" s="174" t="s">
        <v>321</v>
      </c>
      <c r="AE180" s="174" t="s">
        <v>321</v>
      </c>
      <c r="AF180" s="174" t="s">
        <v>321</v>
      </c>
      <c r="AG180" s="169" t="s">
        <v>321</v>
      </c>
      <c r="AH180" s="169" t="s">
        <v>321</v>
      </c>
      <c r="AI180" s="169" t="s">
        <v>321</v>
      </c>
      <c r="AJ180" s="169" t="s">
        <v>321</v>
      </c>
      <c r="AK180" s="169" t="s">
        <v>321</v>
      </c>
      <c r="AL180" s="169"/>
      <c r="AM180" s="169" t="s">
        <v>321</v>
      </c>
    </row>
    <row r="181" hidden="1">
      <c r="A181" s="175" t="s">
        <v>545</v>
      </c>
      <c r="B181" s="176" t="s">
        <v>547</v>
      </c>
      <c r="C181" s="177" t="s">
        <v>423</v>
      </c>
      <c r="D181" s="176"/>
      <c r="E181" s="176" t="s">
        <v>319</v>
      </c>
      <c r="F181" s="176" t="s">
        <v>326</v>
      </c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74"/>
      <c r="U181" s="174"/>
      <c r="V181" s="174"/>
      <c r="W181" s="170"/>
      <c r="X181" s="170"/>
      <c r="Y181" s="174"/>
      <c r="Z181" s="174"/>
      <c r="AA181" s="174"/>
      <c r="AB181" s="174" t="s">
        <v>321</v>
      </c>
      <c r="AC181" s="174" t="s">
        <v>321</v>
      </c>
      <c r="AD181" s="174" t="s">
        <v>321</v>
      </c>
      <c r="AE181" s="174" t="s">
        <v>321</v>
      </c>
      <c r="AF181" s="174" t="s">
        <v>321</v>
      </c>
      <c r="AG181" s="169" t="s">
        <v>321</v>
      </c>
      <c r="AH181" s="169" t="s">
        <v>321</v>
      </c>
      <c r="AI181" s="169" t="s">
        <v>321</v>
      </c>
      <c r="AJ181" s="169" t="s">
        <v>321</v>
      </c>
      <c r="AK181" s="169" t="s">
        <v>321</v>
      </c>
      <c r="AL181" s="169"/>
      <c r="AM181" s="178"/>
    </row>
    <row r="182" hidden="1">
      <c r="A182" s="175" t="s">
        <v>85</v>
      </c>
      <c r="B182" s="175" t="s">
        <v>548</v>
      </c>
      <c r="C182" s="177" t="s">
        <v>184</v>
      </c>
      <c r="D182" s="177" t="s">
        <v>318</v>
      </c>
      <c r="E182" s="176" t="s">
        <v>319</v>
      </c>
      <c r="F182" s="176" t="s">
        <v>324</v>
      </c>
      <c r="G182" s="169"/>
      <c r="H182" s="169"/>
      <c r="I182" s="169"/>
      <c r="J182" s="169"/>
      <c r="K182" s="169" t="s">
        <v>321</v>
      </c>
      <c r="L182" s="169" t="s">
        <v>321</v>
      </c>
      <c r="M182" s="172"/>
      <c r="N182" s="172"/>
      <c r="O182" s="172"/>
      <c r="P182" s="169" t="s">
        <v>321</v>
      </c>
      <c r="Q182" s="169" t="s">
        <v>321</v>
      </c>
      <c r="R182" s="169" t="s">
        <v>321</v>
      </c>
      <c r="S182" s="169" t="s">
        <v>321</v>
      </c>
      <c r="T182" s="174" t="s">
        <v>321</v>
      </c>
      <c r="U182" s="174" t="s">
        <v>321</v>
      </c>
      <c r="V182" s="174" t="s">
        <v>321</v>
      </c>
      <c r="W182" s="174" t="s">
        <v>321</v>
      </c>
      <c r="X182" s="174" t="s">
        <v>321</v>
      </c>
      <c r="Y182" s="174"/>
      <c r="Z182" s="174" t="s">
        <v>321</v>
      </c>
      <c r="AA182" s="174"/>
      <c r="AB182" s="174"/>
      <c r="AC182" s="174"/>
      <c r="AD182" s="174"/>
      <c r="AE182" s="174" t="s">
        <v>321</v>
      </c>
      <c r="AF182" s="174"/>
      <c r="AG182" s="174"/>
      <c r="AH182" s="174" t="s">
        <v>321</v>
      </c>
      <c r="AI182" s="174"/>
      <c r="AJ182" s="174"/>
      <c r="AK182" s="174"/>
      <c r="AL182" s="182"/>
      <c r="AM182" s="182"/>
    </row>
    <row r="183" hidden="1">
      <c r="A183" s="175" t="s">
        <v>421</v>
      </c>
      <c r="B183" s="176" t="s">
        <v>549</v>
      </c>
      <c r="C183" s="177" t="s">
        <v>423</v>
      </c>
      <c r="D183" s="176"/>
      <c r="E183" s="176" t="s">
        <v>319</v>
      </c>
      <c r="F183" s="176" t="s">
        <v>326</v>
      </c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74"/>
      <c r="U183" s="174"/>
      <c r="V183" s="174"/>
      <c r="W183" s="170"/>
      <c r="X183" s="170"/>
      <c r="Y183" s="174"/>
      <c r="Z183" s="174"/>
      <c r="AA183" s="174" t="s">
        <v>321</v>
      </c>
      <c r="AB183" s="174"/>
      <c r="AC183" s="174" t="s">
        <v>321</v>
      </c>
      <c r="AD183" s="174" t="s">
        <v>321</v>
      </c>
      <c r="AE183" s="174"/>
      <c r="AF183" s="174" t="s">
        <v>321</v>
      </c>
      <c r="AG183" s="169" t="s">
        <v>321</v>
      </c>
      <c r="AH183" s="169" t="s">
        <v>321</v>
      </c>
      <c r="AI183" s="169" t="s">
        <v>321</v>
      </c>
      <c r="AJ183" s="169"/>
      <c r="AK183" s="169"/>
      <c r="AL183" s="178"/>
      <c r="AM183" s="178"/>
    </row>
    <row r="184" hidden="1">
      <c r="A184" s="175" t="s">
        <v>550</v>
      </c>
      <c r="B184" s="176" t="s">
        <v>551</v>
      </c>
      <c r="C184" s="177" t="s">
        <v>423</v>
      </c>
      <c r="D184" s="176"/>
      <c r="E184" s="176" t="s">
        <v>319</v>
      </c>
      <c r="F184" s="176" t="s">
        <v>326</v>
      </c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74"/>
      <c r="U184" s="174"/>
      <c r="V184" s="174"/>
      <c r="W184" s="170"/>
      <c r="X184" s="170"/>
      <c r="Y184" s="174"/>
      <c r="Z184" s="174"/>
      <c r="AA184" s="174" t="s">
        <v>321</v>
      </c>
      <c r="AB184" s="174" t="s">
        <v>321</v>
      </c>
      <c r="AC184" s="174"/>
      <c r="AD184" s="174"/>
      <c r="AE184" s="170"/>
      <c r="AF184" s="170"/>
      <c r="AG184" s="170"/>
      <c r="AH184" s="170"/>
      <c r="AI184" s="170"/>
      <c r="AJ184" s="170"/>
      <c r="AK184" s="170"/>
      <c r="AL184" s="171"/>
      <c r="AM184" s="171"/>
    </row>
    <row r="185" hidden="1">
      <c r="A185" s="175" t="s">
        <v>364</v>
      </c>
      <c r="B185" s="176" t="s">
        <v>552</v>
      </c>
      <c r="C185" s="177" t="s">
        <v>101</v>
      </c>
      <c r="D185" s="176"/>
      <c r="E185" s="176" t="s">
        <v>319</v>
      </c>
      <c r="F185" s="176" t="s">
        <v>326</v>
      </c>
      <c r="G185" s="169"/>
      <c r="H185" s="169"/>
      <c r="I185" s="169"/>
      <c r="J185" s="169"/>
      <c r="K185" s="169"/>
      <c r="L185" s="172"/>
      <c r="M185" s="172"/>
      <c r="N185" s="169"/>
      <c r="O185" s="169"/>
      <c r="P185" s="169"/>
      <c r="Q185" s="169"/>
      <c r="R185" s="169"/>
      <c r="S185" s="169"/>
      <c r="T185" s="169"/>
      <c r="U185" s="169" t="s">
        <v>321</v>
      </c>
      <c r="V185" s="169" t="s">
        <v>321</v>
      </c>
      <c r="W185" s="169" t="s">
        <v>321</v>
      </c>
      <c r="X185" s="169" t="s">
        <v>321</v>
      </c>
      <c r="Y185" s="174" t="s">
        <v>321</v>
      </c>
      <c r="Z185" s="174"/>
      <c r="AA185" s="174"/>
      <c r="AB185" s="174" t="s">
        <v>321</v>
      </c>
      <c r="AC185" s="174" t="s">
        <v>321</v>
      </c>
      <c r="AD185" s="174" t="s">
        <v>321</v>
      </c>
      <c r="AE185" s="169" t="s">
        <v>321</v>
      </c>
      <c r="AF185" s="169" t="s">
        <v>321</v>
      </c>
      <c r="AG185" s="169"/>
      <c r="AH185" s="169"/>
      <c r="AI185" s="169"/>
      <c r="AJ185" s="169"/>
      <c r="AK185" s="169"/>
      <c r="AL185" s="178"/>
      <c r="AM185" s="178"/>
    </row>
    <row r="186" hidden="1">
      <c r="A186" s="166" t="s">
        <v>553</v>
      </c>
      <c r="B186" s="167" t="s">
        <v>348</v>
      </c>
      <c r="C186" s="167" t="s">
        <v>339</v>
      </c>
      <c r="D186" s="167"/>
      <c r="E186" s="167" t="s">
        <v>319</v>
      </c>
      <c r="F186" s="167" t="s">
        <v>326</v>
      </c>
      <c r="G186" s="169"/>
      <c r="H186" s="169"/>
      <c r="I186" s="169"/>
      <c r="J186" s="169"/>
      <c r="K186" s="169"/>
      <c r="L186" s="169"/>
      <c r="M186" s="169" t="s">
        <v>321</v>
      </c>
      <c r="N186" s="169"/>
      <c r="O186" s="169"/>
      <c r="P186" s="169" t="s">
        <v>321</v>
      </c>
      <c r="Q186" s="169" t="s">
        <v>321</v>
      </c>
      <c r="R186" s="169"/>
      <c r="S186" s="169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  <c r="AF186" s="170"/>
      <c r="AG186" s="170"/>
      <c r="AH186" s="170"/>
      <c r="AI186" s="170"/>
      <c r="AJ186" s="170"/>
      <c r="AK186" s="170"/>
      <c r="AL186" s="171"/>
      <c r="AM186" s="171"/>
    </row>
    <row r="187" hidden="1">
      <c r="A187" s="175" t="s">
        <v>421</v>
      </c>
      <c r="B187" s="176" t="s">
        <v>554</v>
      </c>
      <c r="C187" s="177" t="s">
        <v>423</v>
      </c>
      <c r="D187" s="176"/>
      <c r="E187" s="176" t="s">
        <v>319</v>
      </c>
      <c r="F187" s="176" t="s">
        <v>326</v>
      </c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74"/>
      <c r="U187" s="174"/>
      <c r="V187" s="174"/>
      <c r="W187" s="170"/>
      <c r="X187" s="170"/>
      <c r="Y187" s="174"/>
      <c r="Z187" s="174"/>
      <c r="AA187" s="174" t="s">
        <v>321</v>
      </c>
      <c r="AB187" s="174"/>
      <c r="AC187" s="174" t="s">
        <v>321</v>
      </c>
      <c r="AD187" s="174" t="s">
        <v>321</v>
      </c>
      <c r="AE187" s="174"/>
      <c r="AF187" s="174" t="s">
        <v>321</v>
      </c>
      <c r="AG187" s="169" t="s">
        <v>321</v>
      </c>
      <c r="AH187" s="169" t="s">
        <v>321</v>
      </c>
      <c r="AI187" s="169" t="s">
        <v>321</v>
      </c>
      <c r="AJ187" s="169"/>
      <c r="AK187" s="169"/>
      <c r="AL187" s="178"/>
      <c r="AM187" s="178"/>
    </row>
    <row r="188" hidden="1">
      <c r="A188" s="175" t="s">
        <v>364</v>
      </c>
      <c r="B188" s="176" t="s">
        <v>555</v>
      </c>
      <c r="C188" s="177" t="s">
        <v>101</v>
      </c>
      <c r="D188" s="176"/>
      <c r="E188" s="176" t="s">
        <v>319</v>
      </c>
      <c r="F188" s="176" t="s">
        <v>326</v>
      </c>
      <c r="G188" s="169"/>
      <c r="H188" s="169"/>
      <c r="I188" s="169"/>
      <c r="J188" s="169"/>
      <c r="K188" s="169"/>
      <c r="L188" s="172"/>
      <c r="M188" s="172"/>
      <c r="N188" s="169"/>
      <c r="O188" s="169"/>
      <c r="P188" s="169"/>
      <c r="Q188" s="169"/>
      <c r="R188" s="169"/>
      <c r="S188" s="169"/>
      <c r="T188" s="169"/>
      <c r="U188" s="169" t="s">
        <v>321</v>
      </c>
      <c r="V188" s="169" t="s">
        <v>321</v>
      </c>
      <c r="W188" s="169" t="s">
        <v>321</v>
      </c>
      <c r="X188" s="169" t="s">
        <v>321</v>
      </c>
      <c r="Y188" s="174" t="s">
        <v>321</v>
      </c>
      <c r="Z188" s="174"/>
      <c r="AA188" s="174"/>
      <c r="AB188" s="174" t="s">
        <v>321</v>
      </c>
      <c r="AC188" s="174" t="s">
        <v>321</v>
      </c>
      <c r="AD188" s="174" t="s">
        <v>321</v>
      </c>
      <c r="AE188" s="169" t="s">
        <v>321</v>
      </c>
      <c r="AF188" s="169" t="s">
        <v>321</v>
      </c>
      <c r="AG188" s="169"/>
      <c r="AH188" s="169"/>
      <c r="AI188" s="169"/>
      <c r="AJ188" s="169"/>
      <c r="AK188" s="169"/>
      <c r="AL188" s="178"/>
      <c r="AM188" s="178"/>
    </row>
    <row r="189" hidden="1">
      <c r="A189" s="175" t="s">
        <v>364</v>
      </c>
      <c r="B189" s="176" t="s">
        <v>556</v>
      </c>
      <c r="C189" s="177" t="s">
        <v>101</v>
      </c>
      <c r="D189" s="176"/>
      <c r="E189" s="176" t="s">
        <v>319</v>
      </c>
      <c r="F189" s="176" t="s">
        <v>326</v>
      </c>
      <c r="G189" s="169"/>
      <c r="H189" s="169"/>
      <c r="I189" s="169"/>
      <c r="J189" s="169"/>
      <c r="K189" s="169"/>
      <c r="L189" s="172"/>
      <c r="M189" s="172"/>
      <c r="N189" s="169"/>
      <c r="O189" s="169"/>
      <c r="P189" s="169"/>
      <c r="Q189" s="169"/>
      <c r="R189" s="169"/>
      <c r="S189" s="169"/>
      <c r="T189" s="169"/>
      <c r="U189" s="169" t="s">
        <v>321</v>
      </c>
      <c r="V189" s="169" t="s">
        <v>321</v>
      </c>
      <c r="W189" s="169" t="s">
        <v>321</v>
      </c>
      <c r="X189" s="169" t="s">
        <v>321</v>
      </c>
      <c r="Y189" s="174" t="s">
        <v>321</v>
      </c>
      <c r="Z189" s="174"/>
      <c r="AA189" s="174"/>
      <c r="AB189" s="174" t="s">
        <v>321</v>
      </c>
      <c r="AC189" s="174" t="s">
        <v>321</v>
      </c>
      <c r="AD189" s="174" t="s">
        <v>321</v>
      </c>
      <c r="AE189" s="169" t="s">
        <v>321</v>
      </c>
      <c r="AF189" s="174" t="s">
        <v>321</v>
      </c>
      <c r="AG189" s="169" t="s">
        <v>321</v>
      </c>
      <c r="AH189" s="169" t="s">
        <v>321</v>
      </c>
      <c r="AI189" s="169"/>
      <c r="AJ189" s="169"/>
      <c r="AK189" s="169"/>
      <c r="AL189" s="178"/>
      <c r="AM189" s="178"/>
    </row>
    <row r="190" hidden="1">
      <c r="A190" s="175" t="s">
        <v>424</v>
      </c>
      <c r="B190" s="176" t="s">
        <v>557</v>
      </c>
      <c r="C190" s="177" t="s">
        <v>101</v>
      </c>
      <c r="D190" s="177" t="s">
        <v>171</v>
      </c>
      <c r="E190" s="176" t="s">
        <v>319</v>
      </c>
      <c r="F190" s="176" t="s">
        <v>324</v>
      </c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74"/>
      <c r="U190" s="174"/>
      <c r="V190" s="174"/>
      <c r="W190" s="170"/>
      <c r="X190" s="170"/>
      <c r="Y190" s="174"/>
      <c r="Z190" s="174"/>
      <c r="AA190" s="174" t="s">
        <v>321</v>
      </c>
      <c r="AB190" s="174"/>
      <c r="AC190" s="174" t="s">
        <v>321</v>
      </c>
      <c r="AD190" s="174" t="s">
        <v>321</v>
      </c>
      <c r="AE190" s="174" t="s">
        <v>321</v>
      </c>
      <c r="AF190" s="174" t="s">
        <v>321</v>
      </c>
      <c r="AG190" s="169" t="s">
        <v>321</v>
      </c>
      <c r="AH190" s="169" t="s">
        <v>321</v>
      </c>
      <c r="AI190" s="169"/>
      <c r="AJ190" s="169"/>
      <c r="AK190" s="169"/>
      <c r="AL190" s="178"/>
      <c r="AM190" s="178"/>
    </row>
    <row r="191" hidden="1">
      <c r="A191" s="175" t="s">
        <v>419</v>
      </c>
      <c r="B191" s="176" t="s">
        <v>558</v>
      </c>
      <c r="C191" s="177" t="s">
        <v>208</v>
      </c>
      <c r="D191" s="176"/>
      <c r="E191" s="176" t="s">
        <v>319</v>
      </c>
      <c r="F191" s="176" t="s">
        <v>326</v>
      </c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74"/>
      <c r="U191" s="174"/>
      <c r="V191" s="174"/>
      <c r="W191" s="170"/>
      <c r="X191" s="170"/>
      <c r="Y191" s="174"/>
      <c r="Z191" s="174"/>
      <c r="AA191" s="174"/>
      <c r="AB191" s="174" t="s">
        <v>321</v>
      </c>
      <c r="AC191" s="174" t="s">
        <v>321</v>
      </c>
      <c r="AD191" s="174" t="s">
        <v>321</v>
      </c>
      <c r="AE191" s="170"/>
      <c r="AF191" s="170"/>
      <c r="AG191" s="170"/>
      <c r="AH191" s="170"/>
      <c r="AI191" s="170"/>
      <c r="AJ191" s="170"/>
      <c r="AK191" s="170"/>
      <c r="AL191" s="171"/>
      <c r="AM191" s="171"/>
    </row>
    <row r="192" hidden="1">
      <c r="A192" s="175" t="s">
        <v>419</v>
      </c>
      <c r="B192" s="176" t="s">
        <v>559</v>
      </c>
      <c r="C192" s="177" t="s">
        <v>208</v>
      </c>
      <c r="D192" s="176"/>
      <c r="E192" s="176" t="s">
        <v>319</v>
      </c>
      <c r="F192" s="176" t="s">
        <v>326</v>
      </c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74"/>
      <c r="U192" s="174"/>
      <c r="V192" s="174"/>
      <c r="W192" s="170"/>
      <c r="X192" s="170"/>
      <c r="Y192" s="174"/>
      <c r="Z192" s="174"/>
      <c r="AA192" s="174"/>
      <c r="AB192" s="174" t="s">
        <v>321</v>
      </c>
      <c r="AC192" s="174" t="s">
        <v>321</v>
      </c>
      <c r="AD192" s="174" t="s">
        <v>321</v>
      </c>
      <c r="AE192" s="170"/>
      <c r="AF192" s="170"/>
      <c r="AG192" s="170"/>
      <c r="AH192" s="170"/>
      <c r="AI192" s="170"/>
      <c r="AJ192" s="170"/>
      <c r="AK192" s="170"/>
      <c r="AL192" s="171"/>
      <c r="AM192" s="171"/>
    </row>
    <row r="193" hidden="1">
      <c r="A193" s="175" t="s">
        <v>419</v>
      </c>
      <c r="B193" s="176" t="s">
        <v>560</v>
      </c>
      <c r="C193" s="177" t="s">
        <v>208</v>
      </c>
      <c r="D193" s="177" t="s">
        <v>184</v>
      </c>
      <c r="E193" s="176" t="s">
        <v>319</v>
      </c>
      <c r="F193" s="176" t="s">
        <v>326</v>
      </c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74"/>
      <c r="U193" s="174"/>
      <c r="V193" s="174"/>
      <c r="W193" s="170"/>
      <c r="X193" s="170"/>
      <c r="Y193" s="174"/>
      <c r="Z193" s="174"/>
      <c r="AA193" s="174"/>
      <c r="AB193" s="174" t="s">
        <v>321</v>
      </c>
      <c r="AC193" s="174" t="s">
        <v>321</v>
      </c>
      <c r="AD193" s="174" t="s">
        <v>321</v>
      </c>
      <c r="AE193" s="170"/>
      <c r="AF193" s="170"/>
      <c r="AG193" s="170"/>
      <c r="AH193" s="170"/>
      <c r="AI193" s="170"/>
      <c r="AJ193" s="170"/>
      <c r="AK193" s="170"/>
      <c r="AL193" s="171"/>
      <c r="AM193" s="171"/>
    </row>
    <row r="194" hidden="1">
      <c r="A194" s="175" t="s">
        <v>364</v>
      </c>
      <c r="B194" s="176" t="s">
        <v>561</v>
      </c>
      <c r="C194" s="177" t="s">
        <v>101</v>
      </c>
      <c r="D194" s="176"/>
      <c r="E194" s="176" t="s">
        <v>319</v>
      </c>
      <c r="F194" s="176" t="s">
        <v>320</v>
      </c>
      <c r="G194" s="169"/>
      <c r="H194" s="169"/>
      <c r="I194" s="169"/>
      <c r="J194" s="169"/>
      <c r="K194" s="169"/>
      <c r="L194" s="172"/>
      <c r="M194" s="172"/>
      <c r="N194" s="169"/>
      <c r="O194" s="169"/>
      <c r="P194" s="169"/>
      <c r="Q194" s="169"/>
      <c r="R194" s="169"/>
      <c r="S194" s="169"/>
      <c r="T194" s="169"/>
      <c r="U194" s="169" t="s">
        <v>321</v>
      </c>
      <c r="V194" s="169" t="s">
        <v>321</v>
      </c>
      <c r="W194" s="169" t="s">
        <v>321</v>
      </c>
      <c r="X194" s="169" t="s">
        <v>321</v>
      </c>
      <c r="Y194" s="174" t="s">
        <v>321</v>
      </c>
      <c r="Z194" s="174" t="s">
        <v>321</v>
      </c>
      <c r="AA194" s="174" t="s">
        <v>321</v>
      </c>
      <c r="AB194" s="174" t="s">
        <v>321</v>
      </c>
      <c r="AC194" s="174" t="s">
        <v>321</v>
      </c>
      <c r="AD194" s="174"/>
      <c r="AE194" s="174" t="s">
        <v>321</v>
      </c>
      <c r="AF194" s="169"/>
      <c r="AG194" s="169"/>
      <c r="AH194" s="169"/>
      <c r="AI194" s="169"/>
      <c r="AJ194" s="169"/>
      <c r="AK194" s="169"/>
      <c r="AL194" s="178"/>
      <c r="AM194" s="178"/>
    </row>
    <row r="195" hidden="1">
      <c r="A195" s="175" t="s">
        <v>450</v>
      </c>
      <c r="B195" s="176" t="s">
        <v>562</v>
      </c>
      <c r="C195" s="177" t="s">
        <v>101</v>
      </c>
      <c r="D195" s="176"/>
      <c r="E195" s="176" t="s">
        <v>319</v>
      </c>
      <c r="F195" s="176" t="s">
        <v>326</v>
      </c>
      <c r="G195" s="169"/>
      <c r="H195" s="169"/>
      <c r="I195" s="169"/>
      <c r="J195" s="169"/>
      <c r="K195" s="169"/>
      <c r="L195" s="172"/>
      <c r="M195" s="172"/>
      <c r="N195" s="169"/>
      <c r="O195" s="169"/>
      <c r="P195" s="169"/>
      <c r="Q195" s="169"/>
      <c r="R195" s="169"/>
      <c r="S195" s="169"/>
      <c r="T195" s="169"/>
      <c r="U195" s="169" t="s">
        <v>321</v>
      </c>
      <c r="V195" s="169" t="s">
        <v>321</v>
      </c>
      <c r="W195" s="169" t="s">
        <v>321</v>
      </c>
      <c r="X195" s="169" t="s">
        <v>321</v>
      </c>
      <c r="Y195" s="174" t="s">
        <v>321</v>
      </c>
      <c r="Z195" s="174"/>
      <c r="AA195" s="174"/>
      <c r="AB195" s="174" t="s">
        <v>321</v>
      </c>
      <c r="AC195" s="174" t="s">
        <v>321</v>
      </c>
      <c r="AD195" s="174" t="s">
        <v>321</v>
      </c>
      <c r="AE195" s="169" t="s">
        <v>321</v>
      </c>
      <c r="AF195" s="169"/>
      <c r="AG195" s="169"/>
      <c r="AH195" s="169"/>
      <c r="AI195" s="169"/>
      <c r="AJ195" s="169"/>
      <c r="AK195" s="169"/>
      <c r="AL195" s="178"/>
      <c r="AM195" s="178"/>
    </row>
    <row r="196" hidden="1">
      <c r="A196" s="175" t="s">
        <v>58</v>
      </c>
      <c r="B196" s="176" t="s">
        <v>563</v>
      </c>
      <c r="C196" s="177" t="s">
        <v>423</v>
      </c>
      <c r="D196" s="177" t="s">
        <v>74</v>
      </c>
      <c r="E196" s="176" t="s">
        <v>319</v>
      </c>
      <c r="F196" s="176" t="s">
        <v>326</v>
      </c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74"/>
      <c r="U196" s="174"/>
      <c r="V196" s="174"/>
      <c r="W196" s="170"/>
      <c r="X196" s="170"/>
      <c r="Y196" s="174"/>
      <c r="Z196" s="174"/>
      <c r="AA196" s="174"/>
      <c r="AB196" s="174" t="s">
        <v>321</v>
      </c>
      <c r="AC196" s="174" t="s">
        <v>321</v>
      </c>
      <c r="AD196" s="174" t="s">
        <v>321</v>
      </c>
      <c r="AE196" s="174" t="s">
        <v>321</v>
      </c>
      <c r="AF196" s="174" t="s">
        <v>321</v>
      </c>
      <c r="AG196" s="169" t="s">
        <v>321</v>
      </c>
      <c r="AH196" s="169" t="s">
        <v>321</v>
      </c>
      <c r="AI196" s="169"/>
      <c r="AJ196" s="169" t="s">
        <v>321</v>
      </c>
      <c r="AK196" s="169" t="s">
        <v>321</v>
      </c>
      <c r="AL196" s="169"/>
      <c r="AM196" s="178"/>
    </row>
    <row r="197" hidden="1">
      <c r="A197" s="175" t="s">
        <v>421</v>
      </c>
      <c r="B197" s="176" t="s">
        <v>564</v>
      </c>
      <c r="C197" s="177" t="s">
        <v>423</v>
      </c>
      <c r="D197" s="176"/>
      <c r="E197" s="176" t="s">
        <v>319</v>
      </c>
      <c r="F197" s="176" t="s">
        <v>326</v>
      </c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74"/>
      <c r="U197" s="174"/>
      <c r="V197" s="174"/>
      <c r="W197" s="170"/>
      <c r="X197" s="170"/>
      <c r="Y197" s="174"/>
      <c r="Z197" s="174"/>
      <c r="AA197" s="174" t="s">
        <v>321</v>
      </c>
      <c r="AB197" s="174"/>
      <c r="AC197" s="174" t="s">
        <v>321</v>
      </c>
      <c r="AD197" s="174" t="s">
        <v>321</v>
      </c>
      <c r="AE197" s="174"/>
      <c r="AF197" s="174" t="s">
        <v>321</v>
      </c>
      <c r="AG197" s="169" t="s">
        <v>321</v>
      </c>
      <c r="AH197" s="169" t="s">
        <v>321</v>
      </c>
      <c r="AI197" s="169" t="s">
        <v>321</v>
      </c>
      <c r="AJ197" s="169"/>
      <c r="AK197" s="169"/>
      <c r="AL197" s="178"/>
      <c r="AM197" s="178"/>
    </row>
    <row r="198" hidden="1">
      <c r="A198" s="175" t="s">
        <v>364</v>
      </c>
      <c r="B198" s="176" t="s">
        <v>565</v>
      </c>
      <c r="C198" s="177" t="s">
        <v>423</v>
      </c>
      <c r="D198" s="176"/>
      <c r="E198" s="176" t="s">
        <v>319</v>
      </c>
      <c r="F198" s="176" t="s">
        <v>326</v>
      </c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74"/>
      <c r="U198" s="174"/>
      <c r="V198" s="174"/>
      <c r="W198" s="170"/>
      <c r="X198" s="170"/>
      <c r="Y198" s="174"/>
      <c r="Z198" s="174"/>
      <c r="AA198" s="174" t="s">
        <v>321</v>
      </c>
      <c r="AB198" s="174"/>
      <c r="AC198" s="174" t="s">
        <v>321</v>
      </c>
      <c r="AD198" s="174" t="s">
        <v>321</v>
      </c>
      <c r="AE198" s="174" t="s">
        <v>321</v>
      </c>
      <c r="AF198" s="174" t="s">
        <v>321</v>
      </c>
      <c r="AG198" s="169"/>
      <c r="AH198" s="169" t="s">
        <v>321</v>
      </c>
      <c r="AI198" s="169"/>
      <c r="AJ198" s="169"/>
      <c r="AK198" s="169"/>
      <c r="AL198" s="178"/>
      <c r="AM198" s="178"/>
    </row>
    <row r="199" hidden="1">
      <c r="A199" s="175" t="s">
        <v>419</v>
      </c>
      <c r="B199" s="176" t="s">
        <v>566</v>
      </c>
      <c r="C199" s="177" t="s">
        <v>208</v>
      </c>
      <c r="D199" s="176"/>
      <c r="E199" s="176" t="s">
        <v>319</v>
      </c>
      <c r="F199" s="176" t="s">
        <v>326</v>
      </c>
      <c r="G199" s="169" t="s">
        <v>321</v>
      </c>
      <c r="H199" s="169" t="s">
        <v>321</v>
      </c>
      <c r="I199" s="169" t="s">
        <v>321</v>
      </c>
      <c r="J199" s="169"/>
      <c r="K199" s="169" t="s">
        <v>321</v>
      </c>
      <c r="L199" s="169" t="s">
        <v>321</v>
      </c>
      <c r="M199" s="169" t="s">
        <v>321</v>
      </c>
      <c r="N199" s="169" t="s">
        <v>321</v>
      </c>
      <c r="O199" s="169" t="s">
        <v>321</v>
      </c>
      <c r="P199" s="169" t="s">
        <v>321</v>
      </c>
      <c r="Q199" s="169"/>
      <c r="R199" s="169"/>
      <c r="S199" s="169"/>
      <c r="T199" s="174"/>
      <c r="U199" s="174" t="s">
        <v>321</v>
      </c>
      <c r="V199" s="174" t="s">
        <v>321</v>
      </c>
      <c r="W199" s="170"/>
      <c r="X199" s="170"/>
      <c r="Y199" s="174" t="s">
        <v>321</v>
      </c>
      <c r="Z199" s="174" t="s">
        <v>321</v>
      </c>
      <c r="AA199" s="174"/>
      <c r="AB199" s="174" t="s">
        <v>321</v>
      </c>
      <c r="AC199" s="174" t="s">
        <v>321</v>
      </c>
      <c r="AD199" s="174" t="s">
        <v>321</v>
      </c>
      <c r="AE199" s="174" t="s">
        <v>321</v>
      </c>
      <c r="AF199" s="174" t="s">
        <v>321</v>
      </c>
      <c r="AG199" s="169" t="s">
        <v>321</v>
      </c>
      <c r="AH199" s="169" t="s">
        <v>321</v>
      </c>
      <c r="AI199" s="169" t="s">
        <v>321</v>
      </c>
      <c r="AJ199" s="169"/>
      <c r="AK199" s="169"/>
      <c r="AL199" s="178"/>
      <c r="AM199" s="178"/>
    </row>
    <row r="200" hidden="1">
      <c r="A200" s="175" t="s">
        <v>419</v>
      </c>
      <c r="B200" s="176" t="s">
        <v>567</v>
      </c>
      <c r="C200" s="177" t="s">
        <v>208</v>
      </c>
      <c r="D200" s="176"/>
      <c r="E200" s="176" t="s">
        <v>319</v>
      </c>
      <c r="F200" s="176" t="s">
        <v>326</v>
      </c>
      <c r="G200" s="169" t="s">
        <v>321</v>
      </c>
      <c r="H200" s="169" t="s">
        <v>321</v>
      </c>
      <c r="I200" s="169" t="s">
        <v>321</v>
      </c>
      <c r="J200" s="169"/>
      <c r="K200" s="169" t="s">
        <v>321</v>
      </c>
      <c r="L200" s="169" t="s">
        <v>321</v>
      </c>
      <c r="M200" s="169" t="s">
        <v>321</v>
      </c>
      <c r="N200" s="169" t="s">
        <v>321</v>
      </c>
      <c r="O200" s="169" t="s">
        <v>321</v>
      </c>
      <c r="P200" s="169" t="s">
        <v>321</v>
      </c>
      <c r="Q200" s="169"/>
      <c r="R200" s="169"/>
      <c r="S200" s="169"/>
      <c r="T200" s="174"/>
      <c r="U200" s="174" t="s">
        <v>321</v>
      </c>
      <c r="V200" s="174" t="s">
        <v>321</v>
      </c>
      <c r="W200" s="170"/>
      <c r="X200" s="170"/>
      <c r="Y200" s="174" t="s">
        <v>321</v>
      </c>
      <c r="Z200" s="174" t="s">
        <v>321</v>
      </c>
      <c r="AA200" s="174"/>
      <c r="AB200" s="174" t="s">
        <v>321</v>
      </c>
      <c r="AC200" s="174" t="s">
        <v>321</v>
      </c>
      <c r="AD200" s="174" t="s">
        <v>321</v>
      </c>
      <c r="AE200" s="174" t="s">
        <v>321</v>
      </c>
      <c r="AF200" s="174" t="s">
        <v>321</v>
      </c>
      <c r="AG200" s="169" t="s">
        <v>321</v>
      </c>
      <c r="AH200" s="169" t="s">
        <v>321</v>
      </c>
      <c r="AI200" s="169" t="s">
        <v>321</v>
      </c>
      <c r="AJ200" s="169"/>
      <c r="AK200" s="169"/>
      <c r="AL200" s="178"/>
      <c r="AM200" s="178"/>
    </row>
    <row r="201" hidden="1">
      <c r="A201" s="175" t="s">
        <v>492</v>
      </c>
      <c r="B201" s="176" t="s">
        <v>568</v>
      </c>
      <c r="C201" s="176" t="s">
        <v>341</v>
      </c>
      <c r="D201" s="176"/>
      <c r="E201" s="176" t="s">
        <v>319</v>
      </c>
      <c r="F201" s="176" t="s">
        <v>320</v>
      </c>
      <c r="G201" s="169" t="s">
        <v>321</v>
      </c>
      <c r="H201" s="169" t="s">
        <v>321</v>
      </c>
      <c r="I201" s="169" t="s">
        <v>321</v>
      </c>
      <c r="J201" s="169"/>
      <c r="K201" s="169" t="s">
        <v>321</v>
      </c>
      <c r="L201" s="169" t="s">
        <v>321</v>
      </c>
      <c r="M201" s="169" t="s">
        <v>321</v>
      </c>
      <c r="N201" s="169" t="s">
        <v>321</v>
      </c>
      <c r="O201" s="169" t="s">
        <v>321</v>
      </c>
      <c r="P201" s="169" t="s">
        <v>321</v>
      </c>
      <c r="Q201" s="169"/>
      <c r="R201" s="169"/>
      <c r="S201" s="169"/>
      <c r="T201" s="174"/>
      <c r="U201" s="174" t="s">
        <v>321</v>
      </c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  <c r="AF201" s="170"/>
      <c r="AG201" s="170"/>
      <c r="AH201" s="170"/>
      <c r="AI201" s="170"/>
      <c r="AJ201" s="170"/>
      <c r="AK201" s="170"/>
      <c r="AL201" s="171"/>
      <c r="AM201" s="171"/>
    </row>
    <row r="202" hidden="1">
      <c r="A202" s="175" t="s">
        <v>569</v>
      </c>
      <c r="B202" s="175" t="s">
        <v>570</v>
      </c>
      <c r="C202" s="176" t="s">
        <v>333</v>
      </c>
      <c r="D202" s="176"/>
      <c r="E202" s="176" t="s">
        <v>319</v>
      </c>
      <c r="F202" s="176" t="s">
        <v>320</v>
      </c>
      <c r="G202" s="169" t="s">
        <v>321</v>
      </c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  <c r="AF202" s="170"/>
      <c r="AG202" s="170"/>
      <c r="AH202" s="170"/>
      <c r="AI202" s="170"/>
      <c r="AJ202" s="170"/>
      <c r="AK202" s="170"/>
      <c r="AL202" s="171"/>
      <c r="AM202" s="171"/>
    </row>
    <row r="203" hidden="1">
      <c r="A203" s="175" t="s">
        <v>569</v>
      </c>
      <c r="B203" s="176" t="s">
        <v>571</v>
      </c>
      <c r="C203" s="176" t="s">
        <v>333</v>
      </c>
      <c r="D203" s="176"/>
      <c r="E203" s="176" t="s">
        <v>319</v>
      </c>
      <c r="F203" s="176" t="s">
        <v>320</v>
      </c>
      <c r="G203" s="169"/>
      <c r="H203" s="169" t="s">
        <v>321</v>
      </c>
      <c r="I203" s="169"/>
      <c r="J203" s="173"/>
      <c r="K203" s="173"/>
      <c r="L203" s="173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  <c r="AF203" s="170"/>
      <c r="AG203" s="170"/>
      <c r="AH203" s="170"/>
      <c r="AI203" s="170"/>
      <c r="AJ203" s="170"/>
      <c r="AK203" s="170"/>
      <c r="AL203" s="171"/>
      <c r="AM203" s="171"/>
    </row>
    <row r="204" hidden="1">
      <c r="A204" s="175" t="s">
        <v>569</v>
      </c>
      <c r="B204" s="176" t="s">
        <v>572</v>
      </c>
      <c r="C204" s="176" t="s">
        <v>339</v>
      </c>
      <c r="D204" s="176"/>
      <c r="E204" s="176" t="s">
        <v>319</v>
      </c>
      <c r="F204" s="176" t="s">
        <v>324</v>
      </c>
      <c r="G204" s="169"/>
      <c r="H204" s="169"/>
      <c r="I204" s="172"/>
      <c r="J204" s="169" t="s">
        <v>321</v>
      </c>
      <c r="K204" s="169" t="s">
        <v>321</v>
      </c>
      <c r="L204" s="172"/>
      <c r="M204" s="172"/>
      <c r="N204" s="172"/>
      <c r="O204" s="172"/>
      <c r="P204" s="172"/>
      <c r="Q204" s="172"/>
      <c r="R204" s="172"/>
      <c r="S204" s="172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1"/>
      <c r="AM204" s="171"/>
    </row>
    <row r="205" hidden="1">
      <c r="A205" s="175" t="s">
        <v>407</v>
      </c>
      <c r="B205" s="176" t="s">
        <v>573</v>
      </c>
      <c r="C205" s="176" t="s">
        <v>333</v>
      </c>
      <c r="D205" s="176"/>
      <c r="E205" s="176" t="s">
        <v>319</v>
      </c>
      <c r="F205" s="176" t="s">
        <v>326</v>
      </c>
      <c r="G205" s="169"/>
      <c r="H205" s="169"/>
      <c r="I205" s="169"/>
      <c r="J205" s="173"/>
      <c r="K205" s="173"/>
      <c r="L205" s="173"/>
      <c r="M205" s="174"/>
      <c r="N205" s="174" t="s">
        <v>321</v>
      </c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  <c r="AL205" s="182"/>
      <c r="AM205" s="182"/>
    </row>
    <row r="206" hidden="1">
      <c r="A206" s="175" t="s">
        <v>574</v>
      </c>
      <c r="B206" s="176" t="s">
        <v>575</v>
      </c>
      <c r="C206" s="176" t="s">
        <v>339</v>
      </c>
      <c r="D206" s="176"/>
      <c r="E206" s="176" t="s">
        <v>319</v>
      </c>
      <c r="F206" s="176" t="s">
        <v>326</v>
      </c>
      <c r="G206" s="168"/>
      <c r="H206" s="173"/>
      <c r="I206" s="173"/>
      <c r="J206" s="173"/>
      <c r="K206" s="173"/>
      <c r="L206" s="173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1"/>
      <c r="AM206" s="171"/>
    </row>
    <row r="207" hidden="1">
      <c r="A207" s="175" t="s">
        <v>574</v>
      </c>
      <c r="B207" s="176" t="s">
        <v>576</v>
      </c>
      <c r="C207" s="176" t="s">
        <v>339</v>
      </c>
      <c r="D207" s="176"/>
      <c r="E207" s="176" t="s">
        <v>319</v>
      </c>
      <c r="F207" s="176" t="s">
        <v>326</v>
      </c>
      <c r="G207" s="169"/>
      <c r="H207" s="169" t="s">
        <v>321</v>
      </c>
      <c r="I207" s="169"/>
      <c r="J207" s="169"/>
      <c r="K207" s="169"/>
      <c r="L207" s="169"/>
      <c r="M207" s="172"/>
      <c r="N207" s="172"/>
      <c r="O207" s="172"/>
      <c r="P207" s="172"/>
      <c r="Q207" s="172"/>
      <c r="R207" s="172"/>
      <c r="S207" s="172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  <c r="AF207" s="170"/>
      <c r="AG207" s="170"/>
      <c r="AH207" s="170"/>
      <c r="AI207" s="170"/>
      <c r="AJ207" s="170"/>
      <c r="AK207" s="170"/>
      <c r="AL207" s="171"/>
      <c r="AM207" s="171"/>
    </row>
    <row r="208">
      <c r="A208" s="175" t="s">
        <v>577</v>
      </c>
      <c r="B208" s="176" t="s">
        <v>203</v>
      </c>
      <c r="C208" s="177" t="s">
        <v>423</v>
      </c>
      <c r="D208" s="177" t="s">
        <v>208</v>
      </c>
      <c r="E208" s="176" t="s">
        <v>428</v>
      </c>
      <c r="F208" s="176" t="s">
        <v>326</v>
      </c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74"/>
      <c r="U208" s="174"/>
      <c r="V208" s="174"/>
      <c r="W208" s="170"/>
      <c r="X208" s="170"/>
      <c r="Y208" s="174"/>
      <c r="Z208" s="174"/>
      <c r="AA208" s="174"/>
      <c r="AB208" s="174" t="s">
        <v>321</v>
      </c>
      <c r="AC208" s="174" t="s">
        <v>321</v>
      </c>
      <c r="AD208" s="174" t="s">
        <v>321</v>
      </c>
      <c r="AE208" s="174" t="s">
        <v>321</v>
      </c>
      <c r="AF208" s="174" t="s">
        <v>321</v>
      </c>
      <c r="AG208" s="169" t="s">
        <v>321</v>
      </c>
      <c r="AH208" s="169" t="s">
        <v>321</v>
      </c>
      <c r="AI208" s="169" t="s">
        <v>321</v>
      </c>
      <c r="AJ208" s="169" t="s">
        <v>321</v>
      </c>
      <c r="AK208" s="169" t="s">
        <v>321</v>
      </c>
      <c r="AL208" s="169"/>
      <c r="AM208" s="169" t="s">
        <v>321</v>
      </c>
    </row>
    <row r="209">
      <c r="A209" s="175" t="s">
        <v>577</v>
      </c>
      <c r="B209" s="176" t="s">
        <v>578</v>
      </c>
      <c r="C209" s="177" t="s">
        <v>423</v>
      </c>
      <c r="D209" s="176"/>
      <c r="E209" s="176" t="s">
        <v>428</v>
      </c>
      <c r="F209" s="176" t="s">
        <v>326</v>
      </c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74"/>
      <c r="U209" s="174"/>
      <c r="V209" s="174"/>
      <c r="W209" s="170"/>
      <c r="X209" s="170"/>
      <c r="Y209" s="174"/>
      <c r="Z209" s="174"/>
      <c r="AA209" s="174"/>
      <c r="AB209" s="174" t="s">
        <v>321</v>
      </c>
      <c r="AC209" s="174" t="s">
        <v>321</v>
      </c>
      <c r="AD209" s="174" t="s">
        <v>321</v>
      </c>
      <c r="AE209" s="174" t="s">
        <v>321</v>
      </c>
      <c r="AF209" s="174" t="s">
        <v>321</v>
      </c>
      <c r="AG209" s="169" t="s">
        <v>321</v>
      </c>
      <c r="AH209" s="169" t="s">
        <v>321</v>
      </c>
      <c r="AI209" s="169" t="s">
        <v>321</v>
      </c>
      <c r="AJ209" s="169" t="s">
        <v>321</v>
      </c>
      <c r="AK209" s="169" t="s">
        <v>321</v>
      </c>
      <c r="AL209" s="169"/>
      <c r="AM209" s="169" t="s">
        <v>321</v>
      </c>
    </row>
    <row r="210" hidden="1">
      <c r="A210" s="175" t="s">
        <v>577</v>
      </c>
      <c r="B210" s="176" t="s">
        <v>579</v>
      </c>
      <c r="C210" s="177" t="s">
        <v>208</v>
      </c>
      <c r="D210" s="177" t="s">
        <v>184</v>
      </c>
      <c r="E210" s="176" t="s">
        <v>319</v>
      </c>
      <c r="F210" s="176" t="s">
        <v>326</v>
      </c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74"/>
      <c r="U210" s="174"/>
      <c r="V210" s="174"/>
      <c r="W210" s="170"/>
      <c r="X210" s="170"/>
      <c r="Y210" s="174"/>
      <c r="Z210" s="174"/>
      <c r="AA210" s="174"/>
      <c r="AB210" s="174" t="s">
        <v>321</v>
      </c>
      <c r="AC210" s="174" t="s">
        <v>321</v>
      </c>
      <c r="AD210" s="174" t="s">
        <v>321</v>
      </c>
      <c r="AE210" s="174" t="s">
        <v>321</v>
      </c>
      <c r="AF210" s="174" t="s">
        <v>321</v>
      </c>
      <c r="AG210" s="169" t="s">
        <v>321</v>
      </c>
      <c r="AH210" s="169" t="s">
        <v>321</v>
      </c>
      <c r="AI210" s="169" t="s">
        <v>321</v>
      </c>
      <c r="AJ210" s="169" t="s">
        <v>321</v>
      </c>
      <c r="AK210" s="169" t="s">
        <v>321</v>
      </c>
      <c r="AL210" s="178"/>
      <c r="AM210" s="178"/>
    </row>
    <row r="211" hidden="1">
      <c r="A211" s="175" t="s">
        <v>577</v>
      </c>
      <c r="B211" s="176" t="s">
        <v>580</v>
      </c>
      <c r="C211" s="177" t="s">
        <v>208</v>
      </c>
      <c r="D211" s="176"/>
      <c r="E211" s="176" t="s">
        <v>319</v>
      </c>
      <c r="F211" s="176" t="s">
        <v>326</v>
      </c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74"/>
      <c r="U211" s="174"/>
      <c r="V211" s="174"/>
      <c r="W211" s="170"/>
      <c r="X211" s="170"/>
      <c r="Y211" s="174"/>
      <c r="Z211" s="174"/>
      <c r="AA211" s="174"/>
      <c r="AB211" s="174" t="s">
        <v>321</v>
      </c>
      <c r="AC211" s="174" t="s">
        <v>321</v>
      </c>
      <c r="AD211" s="174" t="s">
        <v>321</v>
      </c>
      <c r="AE211" s="174" t="s">
        <v>321</v>
      </c>
      <c r="AF211" s="174" t="s">
        <v>321</v>
      </c>
      <c r="AG211" s="169" t="s">
        <v>321</v>
      </c>
      <c r="AH211" s="169" t="s">
        <v>321</v>
      </c>
      <c r="AI211" s="169"/>
      <c r="AJ211" s="169"/>
      <c r="AK211" s="169"/>
      <c r="AL211" s="178"/>
      <c r="AM211" s="178"/>
    </row>
    <row r="212" hidden="1">
      <c r="A212" s="175" t="s">
        <v>574</v>
      </c>
      <c r="B212" s="176" t="s">
        <v>581</v>
      </c>
      <c r="C212" s="176" t="s">
        <v>323</v>
      </c>
      <c r="D212" s="176"/>
      <c r="E212" s="176" t="s">
        <v>319</v>
      </c>
      <c r="F212" s="176" t="s">
        <v>326</v>
      </c>
      <c r="G212" s="173"/>
      <c r="H212" s="173"/>
      <c r="I212" s="173"/>
      <c r="J212" s="173"/>
      <c r="K212" s="173"/>
      <c r="L212" s="173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  <c r="AF212" s="170"/>
      <c r="AG212" s="170"/>
      <c r="AH212" s="170"/>
      <c r="AI212" s="170"/>
      <c r="AJ212" s="170"/>
      <c r="AK212" s="170"/>
      <c r="AL212" s="171"/>
      <c r="AM212" s="171"/>
    </row>
    <row r="213" hidden="1">
      <c r="A213" s="175" t="s">
        <v>574</v>
      </c>
      <c r="B213" s="176" t="s">
        <v>582</v>
      </c>
      <c r="C213" s="176" t="s">
        <v>341</v>
      </c>
      <c r="D213" s="176"/>
      <c r="E213" s="176" t="s">
        <v>319</v>
      </c>
      <c r="F213" s="176" t="s">
        <v>320</v>
      </c>
      <c r="G213" s="173"/>
      <c r="H213" s="173"/>
      <c r="I213" s="173"/>
      <c r="J213" s="173"/>
      <c r="K213" s="173"/>
      <c r="L213" s="173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  <c r="AF213" s="170"/>
      <c r="AG213" s="170"/>
      <c r="AH213" s="170"/>
      <c r="AI213" s="170"/>
      <c r="AJ213" s="170"/>
      <c r="AK213" s="170"/>
      <c r="AL213" s="171"/>
      <c r="AM213" s="171"/>
    </row>
    <row r="214" ht="14.25" hidden="1" customHeight="1">
      <c r="A214" s="175" t="s">
        <v>517</v>
      </c>
      <c r="B214" s="176" t="s">
        <v>583</v>
      </c>
      <c r="C214" s="176" t="s">
        <v>341</v>
      </c>
      <c r="D214" s="176"/>
      <c r="E214" s="176" t="s">
        <v>319</v>
      </c>
      <c r="F214" s="176" t="s">
        <v>324</v>
      </c>
      <c r="G214" s="169"/>
      <c r="H214" s="169"/>
      <c r="I214" s="169"/>
      <c r="J214" s="169"/>
      <c r="K214" s="169"/>
      <c r="L214" s="169" t="s">
        <v>321</v>
      </c>
      <c r="M214" s="172"/>
      <c r="N214" s="172"/>
      <c r="O214" s="172"/>
      <c r="P214" s="172"/>
      <c r="Q214" s="172"/>
      <c r="R214" s="172"/>
      <c r="S214" s="172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  <c r="AF214" s="170"/>
      <c r="AG214" s="170"/>
      <c r="AH214" s="170"/>
      <c r="AI214" s="170"/>
      <c r="AJ214" s="170"/>
      <c r="AK214" s="170"/>
      <c r="AL214" s="171"/>
      <c r="AM214" s="171"/>
    </row>
    <row r="215" hidden="1">
      <c r="A215" s="175" t="s">
        <v>521</v>
      </c>
      <c r="B215" s="176" t="s">
        <v>584</v>
      </c>
      <c r="C215" s="176" t="s">
        <v>341</v>
      </c>
      <c r="D215" s="176"/>
      <c r="E215" s="176" t="s">
        <v>319</v>
      </c>
      <c r="F215" s="176" t="s">
        <v>326</v>
      </c>
      <c r="G215" s="169"/>
      <c r="H215" s="169" t="s">
        <v>321</v>
      </c>
      <c r="I215" s="169"/>
      <c r="J215" s="169"/>
      <c r="K215" s="172"/>
      <c r="L215" s="172"/>
      <c r="M215" s="172"/>
      <c r="N215" s="172"/>
      <c r="O215" s="172"/>
      <c r="P215" s="172"/>
      <c r="Q215" s="172"/>
      <c r="R215" s="172"/>
      <c r="S215" s="172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  <c r="AF215" s="170"/>
      <c r="AG215" s="170"/>
      <c r="AH215" s="170"/>
      <c r="AI215" s="170"/>
      <c r="AJ215" s="170"/>
      <c r="AK215" s="170"/>
      <c r="AL215" s="171"/>
      <c r="AM215" s="171"/>
    </row>
    <row r="216" hidden="1">
      <c r="A216" s="175" t="s">
        <v>459</v>
      </c>
      <c r="B216" s="176" t="s">
        <v>585</v>
      </c>
      <c r="C216" s="176" t="s">
        <v>333</v>
      </c>
      <c r="D216" s="176"/>
      <c r="E216" s="176" t="s">
        <v>319</v>
      </c>
      <c r="F216" s="176" t="s">
        <v>320</v>
      </c>
      <c r="G216" s="169"/>
      <c r="H216" s="169" t="s">
        <v>321</v>
      </c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  <c r="AF216" s="170"/>
      <c r="AG216" s="170"/>
      <c r="AH216" s="170"/>
      <c r="AI216" s="170"/>
      <c r="AJ216" s="170"/>
      <c r="AK216" s="170"/>
      <c r="AL216" s="171"/>
      <c r="AM216" s="171"/>
    </row>
    <row r="217" hidden="1">
      <c r="A217" s="175" t="s">
        <v>513</v>
      </c>
      <c r="B217" s="176" t="s">
        <v>586</v>
      </c>
      <c r="C217" s="176" t="s">
        <v>341</v>
      </c>
      <c r="D217" s="176"/>
      <c r="E217" s="176" t="s">
        <v>319</v>
      </c>
      <c r="F217" s="176" t="s">
        <v>324</v>
      </c>
      <c r="G217" s="168"/>
      <c r="H217" s="168"/>
      <c r="I217" s="169" t="s">
        <v>321</v>
      </c>
      <c r="J217" s="169" t="s">
        <v>321</v>
      </c>
      <c r="K217" s="169"/>
      <c r="L217" s="169"/>
      <c r="M217" s="169"/>
      <c r="N217" s="174" t="s">
        <v>321</v>
      </c>
      <c r="O217" s="174" t="s">
        <v>321</v>
      </c>
      <c r="P217" s="169" t="s">
        <v>321</v>
      </c>
      <c r="Q217" s="169"/>
      <c r="R217" s="174"/>
      <c r="S217" s="169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  <c r="AF217" s="170"/>
      <c r="AG217" s="170"/>
      <c r="AH217" s="170"/>
      <c r="AI217" s="170"/>
      <c r="AJ217" s="170"/>
      <c r="AK217" s="170"/>
      <c r="AL217" s="171"/>
      <c r="AM217" s="171"/>
    </row>
    <row r="218" hidden="1">
      <c r="A218" s="175" t="s">
        <v>513</v>
      </c>
      <c r="B218" s="176" t="s">
        <v>587</v>
      </c>
      <c r="C218" s="176" t="s">
        <v>341</v>
      </c>
      <c r="D218" s="176"/>
      <c r="E218" s="176" t="s">
        <v>319</v>
      </c>
      <c r="F218" s="176" t="s">
        <v>324</v>
      </c>
      <c r="G218" s="168"/>
      <c r="H218" s="168"/>
      <c r="I218" s="169" t="s">
        <v>321</v>
      </c>
      <c r="J218" s="169" t="s">
        <v>321</v>
      </c>
      <c r="K218" s="169"/>
      <c r="L218" s="169"/>
      <c r="M218" s="169"/>
      <c r="N218" s="174" t="s">
        <v>321</v>
      </c>
      <c r="O218" s="174" t="s">
        <v>321</v>
      </c>
      <c r="P218" s="169"/>
      <c r="Q218" s="169" t="s">
        <v>321</v>
      </c>
      <c r="R218" s="174"/>
      <c r="S218" s="169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  <c r="AF218" s="170"/>
      <c r="AG218" s="170"/>
      <c r="AH218" s="170"/>
      <c r="AI218" s="170"/>
      <c r="AJ218" s="170"/>
      <c r="AK218" s="170"/>
      <c r="AL218" s="171"/>
      <c r="AM218" s="171"/>
    </row>
    <row r="219" hidden="1">
      <c r="A219" s="175" t="s">
        <v>521</v>
      </c>
      <c r="B219" s="176" t="s">
        <v>588</v>
      </c>
      <c r="C219" s="176" t="s">
        <v>341</v>
      </c>
      <c r="D219" s="176"/>
      <c r="E219" s="176" t="s">
        <v>319</v>
      </c>
      <c r="F219" s="176" t="s">
        <v>324</v>
      </c>
      <c r="G219" s="168"/>
      <c r="H219" s="168"/>
      <c r="I219" s="169" t="s">
        <v>321</v>
      </c>
      <c r="J219" s="169" t="s">
        <v>321</v>
      </c>
      <c r="K219" s="169"/>
      <c r="L219" s="169"/>
      <c r="M219" s="169"/>
      <c r="N219" s="174" t="s">
        <v>321</v>
      </c>
      <c r="O219" s="174" t="s">
        <v>321</v>
      </c>
      <c r="P219" s="169"/>
      <c r="Q219" s="169" t="s">
        <v>321</v>
      </c>
      <c r="R219" s="169"/>
      <c r="S219" s="169"/>
      <c r="T219" s="170"/>
      <c r="U219" s="169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0"/>
      <c r="AJ219" s="170"/>
      <c r="AK219" s="170"/>
      <c r="AL219" s="171"/>
      <c r="AM219" s="171"/>
    </row>
  </sheetData>
  <autoFilter ref="$A$2:$AM$219">
    <filterColumn colId="38">
      <filters>
        <filter val="x"/>
      </filters>
    </filterColumn>
  </autoFilter>
  <customSheetViews>
    <customSheetView guid="{5200034C-7E85-4B11-8545-8C4484E94FC4}" filter="1" showAutoFilter="1">
      <autoFilter ref="$A$2:$AE$219"/>
    </customSheetView>
  </customSheetViews>
  <mergeCells count="10">
    <mergeCell ref="AB1:AD1"/>
    <mergeCell ref="AF1:AH1"/>
    <mergeCell ref="AI1:AK1"/>
    <mergeCell ref="A1:B1"/>
    <mergeCell ref="G1:H1"/>
    <mergeCell ref="I1:L1"/>
    <mergeCell ref="M1:Q1"/>
    <mergeCell ref="R1:U1"/>
    <mergeCell ref="V1:X1"/>
    <mergeCell ref="Y1:AA1"/>
  </mergeCells>
  <dataValidations>
    <dataValidation type="list" allowBlank="1" showErrorMessage="1" sqref="F3:F219">
      <formula1>"Alto,Médio,Baixo"</formula1>
    </dataValidation>
    <dataValidation type="list" allowBlank="1" showErrorMessage="1" sqref="E3:E219">
      <formula1>"TO DO,Doing,Done"</formula1>
    </dataValidation>
  </dataValidations>
  <hyperlinks>
    <hyperlink r:id="rId4" ref="C13"/>
    <hyperlink r:id="rId5" ref="C34"/>
    <hyperlink r:id="rId6" ref="C60"/>
    <hyperlink r:id="rId7" ref="C61"/>
    <hyperlink r:id="rId8" ref="C62"/>
    <hyperlink r:id="rId9" ref="C63"/>
    <hyperlink r:id="rId10" ref="C64"/>
    <hyperlink r:id="rId11" ref="C65"/>
    <hyperlink r:id="rId12" ref="C81"/>
    <hyperlink r:id="rId13" ref="C82"/>
    <hyperlink r:id="rId14" ref="C83"/>
    <hyperlink r:id="rId15" ref="C84"/>
    <hyperlink r:id="rId16" ref="D84"/>
    <hyperlink r:id="rId17" ref="C85"/>
    <hyperlink r:id="rId18" ref="C86"/>
    <hyperlink r:id="rId19" ref="D86"/>
    <hyperlink r:id="rId20" ref="C87"/>
    <hyperlink r:id="rId21" ref="C88"/>
    <hyperlink r:id="rId22" ref="C89"/>
    <hyperlink r:id="rId23" ref="C90"/>
    <hyperlink r:id="rId24" ref="C91"/>
    <hyperlink r:id="rId25" ref="C92"/>
    <hyperlink r:id="rId26" ref="C93"/>
    <hyperlink r:id="rId27" ref="C94"/>
    <hyperlink r:id="rId28" ref="C95"/>
    <hyperlink r:id="rId29" ref="C96"/>
    <hyperlink r:id="rId30" ref="C97"/>
    <hyperlink r:id="rId31" ref="C98"/>
    <hyperlink r:id="rId32" ref="C99"/>
    <hyperlink r:id="rId33" ref="C100"/>
    <hyperlink r:id="rId34" ref="C101"/>
    <hyperlink r:id="rId35" ref="C102"/>
    <hyperlink r:id="rId36" ref="C103"/>
    <hyperlink r:id="rId37" ref="D103"/>
    <hyperlink r:id="rId38" ref="C104"/>
    <hyperlink r:id="rId39" ref="C105"/>
    <hyperlink r:id="rId40" ref="C106"/>
    <hyperlink r:id="rId41" ref="C107"/>
    <hyperlink r:id="rId42" ref="C108"/>
    <hyperlink r:id="rId43" ref="C109"/>
    <hyperlink r:id="rId44" ref="D109"/>
    <hyperlink r:id="rId45" ref="C110"/>
    <hyperlink r:id="rId46" ref="D110"/>
    <hyperlink r:id="rId47" ref="C111"/>
    <hyperlink r:id="rId48" ref="D111"/>
    <hyperlink r:id="rId49" ref="C112"/>
    <hyperlink r:id="rId50" ref="D112"/>
    <hyperlink r:id="rId51" ref="C113"/>
    <hyperlink r:id="rId52" ref="D113"/>
    <hyperlink r:id="rId53" ref="C114"/>
    <hyperlink r:id="rId54" ref="D114"/>
    <hyperlink r:id="rId55" ref="C115"/>
    <hyperlink r:id="rId56" ref="D115"/>
    <hyperlink r:id="rId57" ref="C116"/>
    <hyperlink r:id="rId58" ref="C170"/>
    <hyperlink r:id="rId59" ref="C171"/>
    <hyperlink r:id="rId60" ref="C172"/>
    <hyperlink r:id="rId61" ref="C173"/>
    <hyperlink r:id="rId62" ref="C174"/>
    <hyperlink r:id="rId63" ref="C175"/>
    <hyperlink r:id="rId64" ref="C176"/>
    <hyperlink r:id="rId65" ref="D176"/>
    <hyperlink r:id="rId66" ref="C177"/>
    <hyperlink r:id="rId67" ref="D177"/>
    <hyperlink r:id="rId68" ref="C178"/>
    <hyperlink r:id="rId69" ref="C179"/>
    <hyperlink r:id="rId70" ref="C180"/>
    <hyperlink r:id="rId71" ref="D180"/>
    <hyperlink r:id="rId72" ref="C181"/>
    <hyperlink r:id="rId73" ref="C182"/>
    <hyperlink r:id="rId74" ref="D182"/>
    <hyperlink r:id="rId75" ref="C183"/>
    <hyperlink r:id="rId76" ref="C184"/>
    <hyperlink r:id="rId77" ref="C185"/>
    <hyperlink r:id="rId78" ref="C187"/>
    <hyperlink r:id="rId79" ref="C188"/>
    <hyperlink r:id="rId80" ref="C189"/>
    <hyperlink r:id="rId81" ref="C190"/>
    <hyperlink r:id="rId82" ref="D190"/>
    <hyperlink r:id="rId83" ref="C191"/>
    <hyperlink r:id="rId84" ref="C192"/>
    <hyperlink r:id="rId85" ref="C193"/>
    <hyperlink r:id="rId86" ref="D193"/>
    <hyperlink r:id="rId87" ref="C194"/>
    <hyperlink r:id="rId88" ref="C195"/>
    <hyperlink r:id="rId89" ref="C196"/>
    <hyperlink r:id="rId90" ref="D196"/>
    <hyperlink r:id="rId91" ref="C197"/>
    <hyperlink r:id="rId92" ref="C198"/>
    <hyperlink r:id="rId93" ref="C199"/>
    <hyperlink r:id="rId94" ref="C200"/>
    <hyperlink r:id="rId95" ref="C208"/>
    <hyperlink r:id="rId96" ref="D208"/>
    <hyperlink r:id="rId97" ref="C209"/>
    <hyperlink r:id="rId98" ref="C210"/>
    <hyperlink r:id="rId99" ref="D210"/>
    <hyperlink r:id="rId100" ref="C211"/>
  </hyperlinks>
  <drawing r:id="rId101"/>
  <legacy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2" width="4.13"/>
    <col customWidth="1" min="13" max="13" width="7.38"/>
    <col customWidth="1" min="14" max="17" width="5.75"/>
    <col customWidth="1" min="18" max="18" width="4.13"/>
    <col customWidth="1" min="19" max="19" width="6.38"/>
  </cols>
  <sheetData>
    <row r="1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4"/>
      <c r="O1" s="184"/>
      <c r="P1" s="184"/>
      <c r="Q1" s="184"/>
      <c r="R1" s="184"/>
      <c r="S1" s="183"/>
      <c r="T1" s="183"/>
    </row>
    <row r="2">
      <c r="A2" s="183"/>
      <c r="B2" s="185" t="s">
        <v>589</v>
      </c>
      <c r="C2" s="60"/>
      <c r="D2" s="60"/>
      <c r="E2" s="60"/>
      <c r="F2" s="23"/>
      <c r="G2" s="186"/>
      <c r="H2" s="185" t="s">
        <v>590</v>
      </c>
      <c r="I2" s="60"/>
      <c r="J2" s="60"/>
      <c r="K2" s="60"/>
      <c r="L2" s="23"/>
      <c r="M2" s="186"/>
      <c r="N2" s="185"/>
      <c r="O2" s="60"/>
      <c r="P2" s="60"/>
      <c r="Q2" s="60"/>
      <c r="R2" s="23"/>
      <c r="S2" s="183"/>
      <c r="T2" s="183"/>
    </row>
    <row r="3">
      <c r="A3" s="183"/>
      <c r="B3" s="187" t="s">
        <v>591</v>
      </c>
      <c r="C3" s="187" t="s">
        <v>592</v>
      </c>
      <c r="D3" s="187" t="s">
        <v>593</v>
      </c>
      <c r="E3" s="187" t="s">
        <v>594</v>
      </c>
      <c r="F3" s="187" t="s">
        <v>595</v>
      </c>
      <c r="G3" s="188"/>
      <c r="H3" s="189" t="s">
        <v>591</v>
      </c>
      <c r="I3" s="189" t="s">
        <v>592</v>
      </c>
      <c r="J3" s="189" t="s">
        <v>593</v>
      </c>
      <c r="K3" s="189" t="s">
        <v>594</v>
      </c>
      <c r="L3" s="189" t="s">
        <v>595</v>
      </c>
      <c r="M3" s="188"/>
      <c r="N3" s="189"/>
      <c r="O3" s="189"/>
      <c r="P3" s="189"/>
      <c r="Q3" s="189"/>
      <c r="R3" s="189"/>
      <c r="S3" s="183"/>
      <c r="T3" s="183"/>
    </row>
    <row r="4">
      <c r="A4" s="183"/>
      <c r="B4" s="190">
        <v>1.0</v>
      </c>
      <c r="C4" s="191">
        <f t="shared" ref="C4:F4" si="1">B4+1</f>
        <v>2</v>
      </c>
      <c r="D4" s="191">
        <f t="shared" si="1"/>
        <v>3</v>
      </c>
      <c r="E4" s="192">
        <f t="shared" si="1"/>
        <v>4</v>
      </c>
      <c r="F4" s="193">
        <f t="shared" si="1"/>
        <v>5</v>
      </c>
      <c r="G4" s="188"/>
      <c r="H4" s="194">
        <v>5.0</v>
      </c>
      <c r="I4" s="194">
        <f t="shared" ref="I4:L4" si="2">H4+1</f>
        <v>6</v>
      </c>
      <c r="J4" s="190">
        <f t="shared" si="2"/>
        <v>7</v>
      </c>
      <c r="K4" s="190">
        <f t="shared" si="2"/>
        <v>8</v>
      </c>
      <c r="L4" s="190">
        <f t="shared" si="2"/>
        <v>9</v>
      </c>
      <c r="M4" s="188"/>
      <c r="N4" s="194"/>
      <c r="O4" s="194"/>
      <c r="P4" s="194"/>
      <c r="Q4" s="194"/>
      <c r="R4" s="194"/>
      <c r="S4" s="183"/>
      <c r="T4" s="183"/>
    </row>
    <row r="5">
      <c r="A5" s="183"/>
      <c r="B5" s="195">
        <f t="shared" ref="B5:B8" si="5">F4+3</f>
        <v>8</v>
      </c>
      <c r="C5" s="193">
        <f t="shared" ref="C5:F5" si="3">B5+1</f>
        <v>9</v>
      </c>
      <c r="D5" s="193">
        <f t="shared" si="3"/>
        <v>10</v>
      </c>
      <c r="E5" s="193">
        <f t="shared" si="3"/>
        <v>11</v>
      </c>
      <c r="F5" s="193">
        <f t="shared" si="3"/>
        <v>12</v>
      </c>
      <c r="G5" s="188"/>
      <c r="H5" s="192">
        <f t="shared" ref="H5:H7" si="7">L4+3</f>
        <v>12</v>
      </c>
      <c r="I5" s="193">
        <f t="shared" ref="I5:L5" si="4">H5+1</f>
        <v>13</v>
      </c>
      <c r="J5" s="193">
        <f t="shared" si="4"/>
        <v>14</v>
      </c>
      <c r="K5" s="193">
        <f t="shared" si="4"/>
        <v>15</v>
      </c>
      <c r="L5" s="193">
        <f t="shared" si="4"/>
        <v>16</v>
      </c>
      <c r="M5" s="188"/>
      <c r="N5" s="194"/>
      <c r="O5" s="196"/>
      <c r="P5" s="196"/>
      <c r="Q5" s="196"/>
      <c r="R5" s="196"/>
      <c r="S5" s="183"/>
      <c r="T5" s="183"/>
    </row>
    <row r="6">
      <c r="A6" s="183"/>
      <c r="B6" s="195">
        <f t="shared" si="5"/>
        <v>15</v>
      </c>
      <c r="C6" s="197">
        <f t="shared" ref="C6:F6" si="6">B6+1</f>
        <v>16</v>
      </c>
      <c r="D6" s="198">
        <f t="shared" si="6"/>
        <v>17</v>
      </c>
      <c r="E6" s="199">
        <f t="shared" si="6"/>
        <v>18</v>
      </c>
      <c r="F6" s="200">
        <f t="shared" si="6"/>
        <v>19</v>
      </c>
      <c r="G6" s="188"/>
      <c r="H6" s="195">
        <f t="shared" si="7"/>
        <v>19</v>
      </c>
      <c r="I6" s="193">
        <f t="shared" ref="I6:L6" si="8">H6+1</f>
        <v>20</v>
      </c>
      <c r="J6" s="193">
        <f t="shared" si="8"/>
        <v>21</v>
      </c>
      <c r="K6" s="193">
        <f t="shared" si="8"/>
        <v>22</v>
      </c>
      <c r="L6" s="193">
        <f t="shared" si="8"/>
        <v>23</v>
      </c>
      <c r="M6" s="188"/>
      <c r="N6" s="194"/>
      <c r="O6" s="196"/>
      <c r="P6" s="196"/>
      <c r="Q6" s="196"/>
      <c r="R6" s="196"/>
      <c r="S6" s="183"/>
      <c r="T6" s="183"/>
    </row>
    <row r="7">
      <c r="A7" s="183"/>
      <c r="B7" s="201">
        <f t="shared" si="5"/>
        <v>22</v>
      </c>
      <c r="C7" s="202">
        <f t="shared" ref="C7:F7" si="9">B7+1</f>
        <v>23</v>
      </c>
      <c r="D7" s="202">
        <f t="shared" si="9"/>
        <v>24</v>
      </c>
      <c r="E7" s="202">
        <f t="shared" si="9"/>
        <v>25</v>
      </c>
      <c r="F7" s="202">
        <f t="shared" si="9"/>
        <v>26</v>
      </c>
      <c r="G7" s="188"/>
      <c r="H7" s="197">
        <f t="shared" si="7"/>
        <v>26</v>
      </c>
      <c r="I7" s="194">
        <f t="shared" ref="I7:L7" si="10">H7+1</f>
        <v>27</v>
      </c>
      <c r="J7" s="198">
        <f t="shared" si="10"/>
        <v>28</v>
      </c>
      <c r="K7" s="199">
        <f t="shared" si="10"/>
        <v>29</v>
      </c>
      <c r="L7" s="200">
        <f t="shared" si="10"/>
        <v>30</v>
      </c>
      <c r="M7" s="188"/>
      <c r="N7" s="194"/>
      <c r="O7" s="194"/>
      <c r="P7" s="194"/>
      <c r="Q7" s="194"/>
      <c r="R7" s="203"/>
      <c r="S7" s="183"/>
      <c r="T7" s="183"/>
    </row>
    <row r="8">
      <c r="A8" s="183"/>
      <c r="B8" s="201">
        <f t="shared" si="5"/>
        <v>29</v>
      </c>
      <c r="C8" s="202">
        <f t="shared" ref="C8:D8" si="11">B8+1</f>
        <v>30</v>
      </c>
      <c r="D8" s="202">
        <f t="shared" si="11"/>
        <v>31</v>
      </c>
      <c r="E8" s="201"/>
      <c r="F8" s="201"/>
      <c r="G8" s="188"/>
      <c r="H8" s="189"/>
      <c r="I8" s="204"/>
      <c r="J8" s="204"/>
      <c r="K8" s="204"/>
      <c r="L8" s="204"/>
      <c r="M8" s="188"/>
      <c r="N8" s="189"/>
      <c r="O8" s="204"/>
      <c r="P8" s="204"/>
      <c r="Q8" s="204"/>
      <c r="R8" s="204"/>
      <c r="S8" s="183"/>
      <c r="T8" s="183"/>
    </row>
    <row r="9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5"/>
      <c r="O9" s="60"/>
      <c r="P9" s="60"/>
      <c r="Q9" s="23"/>
      <c r="R9" s="184"/>
      <c r="S9" s="183"/>
      <c r="T9" s="183"/>
    </row>
    <row r="10">
      <c r="A10" s="183"/>
      <c r="B10" s="205"/>
      <c r="C10" s="205"/>
      <c r="D10" s="206"/>
      <c r="E10" s="206"/>
      <c r="F10" s="188"/>
      <c r="G10" s="188"/>
      <c r="H10" s="188"/>
      <c r="I10" s="188"/>
      <c r="J10" s="206"/>
      <c r="K10" s="206"/>
      <c r="L10" s="206"/>
      <c r="M10" s="206"/>
      <c r="N10" s="207" t="s">
        <v>596</v>
      </c>
      <c r="O10" s="23"/>
      <c r="P10" s="207" t="s">
        <v>597</v>
      </c>
      <c r="Q10" s="23"/>
      <c r="R10" s="184"/>
      <c r="S10" s="183"/>
      <c r="T10" s="183"/>
    </row>
    <row r="11">
      <c r="A11" s="183"/>
      <c r="B11" s="208"/>
      <c r="C11" s="209" t="s">
        <v>598</v>
      </c>
      <c r="D11" s="209"/>
      <c r="E11" s="210"/>
      <c r="F11" s="188"/>
      <c r="G11" s="188"/>
      <c r="H11" s="188"/>
      <c r="I11" s="188"/>
      <c r="J11" s="209"/>
      <c r="K11" s="209"/>
      <c r="L11" s="210"/>
      <c r="M11" s="206" t="s">
        <v>599</v>
      </c>
      <c r="N11" s="211" t="s">
        <v>600</v>
      </c>
      <c r="O11" s="211" t="s">
        <v>601</v>
      </c>
      <c r="P11" s="211" t="s">
        <v>600</v>
      </c>
      <c r="Q11" s="211" t="s">
        <v>601</v>
      </c>
      <c r="R11" s="184"/>
      <c r="S11" s="183"/>
      <c r="T11" s="183"/>
    </row>
    <row r="12">
      <c r="A12" s="183"/>
      <c r="B12" s="212"/>
      <c r="C12" s="209" t="s">
        <v>602</v>
      </c>
      <c r="D12" s="209"/>
      <c r="E12" s="210"/>
      <c r="F12" s="188"/>
      <c r="G12" s="188"/>
      <c r="H12" s="188"/>
      <c r="I12" s="188"/>
      <c r="J12" s="209"/>
      <c r="K12" s="209"/>
      <c r="L12" s="210"/>
      <c r="M12" s="209" t="s">
        <v>603</v>
      </c>
      <c r="N12" s="211" t="s">
        <v>601</v>
      </c>
      <c r="O12" s="211" t="s">
        <v>604</v>
      </c>
      <c r="P12" s="211" t="s">
        <v>604</v>
      </c>
      <c r="Q12" s="211" t="s">
        <v>605</v>
      </c>
      <c r="R12" s="184"/>
      <c r="S12" s="183"/>
      <c r="T12" s="183"/>
    </row>
    <row r="13">
      <c r="A13" s="183"/>
      <c r="B13" s="213"/>
      <c r="C13" s="209" t="s">
        <v>606</v>
      </c>
      <c r="D13" s="209"/>
      <c r="E13" s="210"/>
      <c r="F13" s="188"/>
      <c r="G13" s="188"/>
      <c r="H13" s="188"/>
      <c r="I13" s="188"/>
      <c r="J13" s="209"/>
      <c r="K13" s="209"/>
      <c r="L13" s="210"/>
      <c r="M13" s="206" t="s">
        <v>607</v>
      </c>
      <c r="N13" s="214" t="s">
        <v>604</v>
      </c>
      <c r="O13" s="214" t="s">
        <v>605</v>
      </c>
      <c r="P13" s="214" t="s">
        <v>608</v>
      </c>
      <c r="Q13" s="214" t="s">
        <v>609</v>
      </c>
      <c r="R13" s="184"/>
      <c r="S13" s="183"/>
      <c r="T13" s="183"/>
    </row>
    <row r="14">
      <c r="A14" s="183"/>
      <c r="B14" s="209"/>
      <c r="C14" s="209" t="s">
        <v>610</v>
      </c>
      <c r="D14" s="209"/>
      <c r="E14" s="210"/>
      <c r="F14" s="183"/>
      <c r="G14" s="183"/>
      <c r="H14" s="183"/>
      <c r="I14" s="183"/>
      <c r="J14" s="209"/>
      <c r="K14" s="209"/>
      <c r="L14" s="210"/>
      <c r="M14" s="210"/>
      <c r="N14" s="209"/>
      <c r="O14" s="209"/>
      <c r="P14" s="210"/>
      <c r="Q14" s="210"/>
      <c r="R14" s="184"/>
      <c r="S14" s="183"/>
      <c r="T14" s="183"/>
    </row>
    <row r="15">
      <c r="A15" s="183"/>
      <c r="B15" s="215"/>
      <c r="C15" s="209" t="s">
        <v>611</v>
      </c>
      <c r="D15" s="209"/>
      <c r="E15" s="210"/>
      <c r="F15" s="188"/>
      <c r="G15" s="188"/>
      <c r="H15" s="188"/>
      <c r="I15" s="188"/>
      <c r="J15" s="209"/>
      <c r="K15" s="209"/>
      <c r="L15" s="210"/>
      <c r="M15" s="210"/>
      <c r="N15" s="209"/>
      <c r="O15" s="209"/>
      <c r="P15" s="210"/>
      <c r="Q15" s="210"/>
      <c r="R15" s="184"/>
      <c r="S15" s="183"/>
      <c r="T15" s="183"/>
    </row>
    <row r="16">
      <c r="A16" s="183"/>
      <c r="B16" s="216"/>
      <c r="C16" s="209" t="s">
        <v>612</v>
      </c>
      <c r="D16" s="209"/>
      <c r="E16" s="210"/>
      <c r="F16" s="183"/>
      <c r="G16" s="183"/>
      <c r="H16" s="183"/>
      <c r="I16" s="183"/>
      <c r="J16" s="209"/>
      <c r="K16" s="209"/>
      <c r="L16" s="210"/>
      <c r="M16" s="210"/>
      <c r="N16" s="209"/>
      <c r="O16" s="209"/>
      <c r="P16" s="210"/>
      <c r="Q16" s="210"/>
      <c r="R16" s="184"/>
      <c r="S16" s="183"/>
      <c r="T16" s="183"/>
    </row>
    <row r="17">
      <c r="A17" s="183"/>
      <c r="B17" s="217"/>
      <c r="C17" s="209" t="s">
        <v>613</v>
      </c>
      <c r="D17" s="209"/>
      <c r="E17" s="210"/>
      <c r="F17" s="183"/>
      <c r="G17" s="183"/>
      <c r="H17" s="183"/>
      <c r="I17" s="183"/>
      <c r="J17" s="209"/>
      <c r="K17" s="209"/>
      <c r="L17" s="210"/>
      <c r="M17" s="210"/>
      <c r="N17" s="209"/>
      <c r="O17" s="209"/>
      <c r="P17" s="210"/>
      <c r="Q17" s="210"/>
      <c r="R17" s="184"/>
      <c r="S17" s="183"/>
      <c r="T17" s="183"/>
    </row>
    <row r="18">
      <c r="A18" s="183"/>
      <c r="B18" s="218"/>
      <c r="C18" s="209" t="s">
        <v>614</v>
      </c>
      <c r="D18" s="209"/>
      <c r="E18" s="183"/>
      <c r="F18" s="183"/>
      <c r="G18" s="183"/>
      <c r="H18" s="183"/>
      <c r="I18" s="183"/>
      <c r="J18" s="219"/>
      <c r="K18" s="209"/>
      <c r="L18" s="183"/>
      <c r="M18" s="183"/>
      <c r="N18" s="219"/>
      <c r="O18" s="209"/>
      <c r="P18" s="183"/>
      <c r="Q18" s="183"/>
      <c r="R18" s="184"/>
      <c r="S18" s="183"/>
      <c r="T18" s="183"/>
    </row>
    <row r="19">
      <c r="A19" s="183"/>
      <c r="B19" s="209"/>
      <c r="C19" s="209"/>
      <c r="D19" s="209"/>
      <c r="E19" s="220"/>
      <c r="F19" s="220"/>
      <c r="G19" s="220"/>
      <c r="H19" s="183"/>
      <c r="I19" s="183"/>
      <c r="J19" s="209"/>
      <c r="K19" s="209"/>
      <c r="L19" s="184"/>
      <c r="M19" s="184"/>
      <c r="N19" s="209"/>
      <c r="O19" s="209"/>
      <c r="P19" s="184"/>
      <c r="Q19" s="184"/>
      <c r="R19" s="184"/>
      <c r="S19" s="183"/>
      <c r="T19" s="183"/>
    </row>
    <row r="20">
      <c r="A20" s="183"/>
      <c r="B20" s="206"/>
      <c r="C20" s="206"/>
      <c r="D20" s="206"/>
      <c r="E20" s="183"/>
      <c r="F20" s="183"/>
      <c r="G20" s="183"/>
      <c r="H20" s="183"/>
      <c r="I20" s="183"/>
      <c r="J20" s="206"/>
      <c r="K20" s="206"/>
      <c r="L20" s="184"/>
      <c r="M20" s="184"/>
      <c r="N20" s="206"/>
      <c r="O20" s="206"/>
      <c r="P20" s="184"/>
      <c r="Q20" s="184"/>
      <c r="R20" s="184"/>
      <c r="S20" s="183"/>
      <c r="T20" s="183"/>
    </row>
    <row r="2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4"/>
      <c r="O21" s="184"/>
      <c r="P21" s="184"/>
      <c r="Q21" s="184"/>
      <c r="R21" s="184"/>
      <c r="S21" s="183"/>
      <c r="T21" s="183"/>
    </row>
    <row r="22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4"/>
      <c r="O22" s="184"/>
      <c r="P22" s="184"/>
      <c r="Q22" s="184"/>
      <c r="R22" s="184"/>
      <c r="S22" s="183"/>
      <c r="T22" s="183"/>
    </row>
    <row r="23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4"/>
      <c r="O23" s="184"/>
      <c r="P23" s="184"/>
      <c r="Q23" s="184"/>
      <c r="R23" s="184"/>
      <c r="S23" s="183"/>
      <c r="T23" s="183"/>
    </row>
    <row r="24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4"/>
      <c r="O24" s="184"/>
      <c r="P24" s="184"/>
      <c r="Q24" s="184"/>
      <c r="R24" s="184"/>
      <c r="S24" s="183"/>
      <c r="T24" s="183"/>
    </row>
    <row r="25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4"/>
      <c r="O25" s="184"/>
      <c r="P25" s="184"/>
      <c r="Q25" s="184"/>
      <c r="R25" s="184"/>
      <c r="S25" s="183"/>
      <c r="T25" s="183"/>
    </row>
    <row r="26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4"/>
      <c r="O26" s="184"/>
      <c r="P26" s="184"/>
      <c r="Q26" s="184"/>
      <c r="R26" s="184"/>
      <c r="S26" s="183"/>
      <c r="T26" s="183"/>
    </row>
    <row r="27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4"/>
      <c r="O27" s="184"/>
      <c r="P27" s="184"/>
      <c r="Q27" s="184"/>
      <c r="R27" s="184"/>
      <c r="S27" s="183"/>
      <c r="T27" s="183"/>
    </row>
    <row r="28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4"/>
      <c r="O28" s="184"/>
      <c r="P28" s="184"/>
      <c r="Q28" s="184"/>
      <c r="R28" s="184"/>
      <c r="S28" s="183"/>
      <c r="T28" s="183"/>
    </row>
    <row r="29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4"/>
      <c r="O29" s="184"/>
      <c r="P29" s="184"/>
      <c r="Q29" s="184"/>
      <c r="R29" s="184"/>
      <c r="S29" s="183"/>
      <c r="T29" s="183"/>
    </row>
    <row r="30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4"/>
      <c r="O30" s="184"/>
      <c r="P30" s="184"/>
      <c r="Q30" s="184"/>
      <c r="R30" s="184"/>
      <c r="S30" s="183"/>
      <c r="T30" s="183"/>
    </row>
    <row r="3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4"/>
      <c r="O31" s="184"/>
      <c r="P31" s="184"/>
      <c r="Q31" s="184"/>
      <c r="R31" s="184"/>
      <c r="S31" s="183"/>
      <c r="T31" s="183"/>
    </row>
    <row r="32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4"/>
      <c r="O32" s="184"/>
      <c r="P32" s="184"/>
      <c r="Q32" s="184"/>
      <c r="R32" s="184"/>
      <c r="S32" s="183"/>
      <c r="T32" s="183"/>
    </row>
    <row r="33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4"/>
      <c r="O33" s="184"/>
      <c r="P33" s="184"/>
      <c r="Q33" s="184"/>
      <c r="R33" s="184"/>
      <c r="S33" s="183"/>
      <c r="T33" s="183"/>
    </row>
    <row r="34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4"/>
      <c r="O34" s="184"/>
      <c r="P34" s="184"/>
      <c r="Q34" s="184"/>
      <c r="R34" s="184"/>
      <c r="S34" s="183"/>
      <c r="T34" s="183"/>
    </row>
    <row r="35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4"/>
      <c r="O35" s="184"/>
      <c r="P35" s="184"/>
      <c r="Q35" s="184"/>
      <c r="R35" s="184"/>
      <c r="S35" s="183"/>
      <c r="T35" s="183"/>
    </row>
    <row r="36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4"/>
      <c r="O36" s="184"/>
      <c r="P36" s="184"/>
      <c r="Q36" s="184"/>
      <c r="R36" s="184"/>
      <c r="S36" s="183"/>
      <c r="T36" s="183"/>
    </row>
    <row r="37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4"/>
      <c r="O37" s="184"/>
      <c r="P37" s="184"/>
      <c r="Q37" s="184"/>
      <c r="R37" s="184"/>
      <c r="S37" s="183"/>
      <c r="T37" s="183"/>
    </row>
    <row r="38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4"/>
      <c r="O38" s="184"/>
      <c r="P38" s="184"/>
      <c r="Q38" s="184"/>
      <c r="R38" s="184"/>
      <c r="S38" s="183"/>
      <c r="T38" s="183"/>
    </row>
    <row r="39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4"/>
      <c r="O39" s="184"/>
      <c r="P39" s="184"/>
      <c r="Q39" s="184"/>
      <c r="R39" s="184"/>
      <c r="S39" s="183"/>
      <c r="T39" s="183"/>
    </row>
    <row r="40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4"/>
      <c r="O40" s="184"/>
      <c r="P40" s="184"/>
      <c r="Q40" s="184"/>
      <c r="R40" s="184"/>
      <c r="S40" s="183"/>
      <c r="T40" s="183"/>
    </row>
    <row r="4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4"/>
      <c r="O41" s="184"/>
      <c r="P41" s="184"/>
      <c r="Q41" s="184"/>
      <c r="R41" s="184"/>
      <c r="S41" s="183"/>
      <c r="T41" s="183"/>
    </row>
    <row r="42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4"/>
      <c r="O42" s="184"/>
      <c r="P42" s="184"/>
      <c r="Q42" s="184"/>
      <c r="R42" s="184"/>
      <c r="S42" s="183"/>
      <c r="T42" s="183"/>
    </row>
    <row r="43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4"/>
      <c r="O43" s="184"/>
      <c r="P43" s="184"/>
      <c r="Q43" s="184"/>
      <c r="R43" s="184"/>
      <c r="S43" s="183"/>
      <c r="T43" s="183"/>
    </row>
    <row r="44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4"/>
      <c r="O44" s="184"/>
      <c r="P44" s="184"/>
      <c r="Q44" s="184"/>
      <c r="R44" s="184"/>
      <c r="S44" s="183"/>
      <c r="T44" s="183"/>
    </row>
    <row r="45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4"/>
      <c r="O45" s="184"/>
      <c r="P45" s="184"/>
      <c r="Q45" s="184"/>
      <c r="R45" s="184"/>
      <c r="S45" s="183"/>
      <c r="T45" s="183"/>
    </row>
    <row r="46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4"/>
      <c r="O46" s="184"/>
      <c r="P46" s="184"/>
      <c r="Q46" s="184"/>
      <c r="R46" s="184"/>
      <c r="S46" s="183"/>
      <c r="T46" s="183"/>
    </row>
    <row r="47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4"/>
      <c r="O47" s="184"/>
      <c r="P47" s="184"/>
      <c r="Q47" s="184"/>
      <c r="R47" s="184"/>
      <c r="S47" s="183"/>
      <c r="T47" s="183"/>
    </row>
    <row r="48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4"/>
      <c r="O48" s="184"/>
      <c r="P48" s="184"/>
      <c r="Q48" s="184"/>
      <c r="R48" s="184"/>
      <c r="S48" s="183"/>
      <c r="T48" s="183"/>
    </row>
    <row r="49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4"/>
      <c r="O49" s="184"/>
      <c r="P49" s="184"/>
      <c r="Q49" s="184"/>
      <c r="R49" s="184"/>
      <c r="S49" s="183"/>
      <c r="T49" s="183"/>
    </row>
    <row r="50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4"/>
      <c r="O50" s="184"/>
      <c r="P50" s="184"/>
      <c r="Q50" s="184"/>
      <c r="R50" s="184"/>
      <c r="S50" s="183"/>
      <c r="T50" s="183"/>
    </row>
    <row r="5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4"/>
      <c r="O51" s="184"/>
      <c r="P51" s="184"/>
      <c r="Q51" s="184"/>
      <c r="R51" s="184"/>
      <c r="S51" s="183"/>
      <c r="T51" s="183"/>
    </row>
    <row r="52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4"/>
      <c r="O52" s="184"/>
      <c r="P52" s="184"/>
      <c r="Q52" s="184"/>
      <c r="R52" s="184"/>
      <c r="S52" s="183"/>
      <c r="T52" s="183"/>
    </row>
    <row r="53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4"/>
      <c r="O53" s="184"/>
      <c r="P53" s="184"/>
      <c r="Q53" s="184"/>
      <c r="R53" s="184"/>
      <c r="S53" s="183"/>
      <c r="T53" s="183"/>
    </row>
    <row r="54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4"/>
      <c r="O54" s="184"/>
      <c r="P54" s="184"/>
      <c r="Q54" s="184"/>
      <c r="R54" s="184"/>
      <c r="S54" s="183"/>
      <c r="T54" s="183"/>
    </row>
    <row r="55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4"/>
      <c r="O55" s="184"/>
      <c r="P55" s="184"/>
      <c r="Q55" s="184"/>
      <c r="R55" s="184"/>
      <c r="S55" s="183"/>
      <c r="T55" s="183"/>
    </row>
    <row r="56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4"/>
      <c r="O56" s="184"/>
      <c r="P56" s="184"/>
      <c r="Q56" s="184"/>
      <c r="R56" s="184"/>
      <c r="S56" s="183"/>
      <c r="T56" s="183"/>
    </row>
    <row r="57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4"/>
      <c r="O57" s="184"/>
      <c r="P57" s="184"/>
      <c r="Q57" s="184"/>
      <c r="R57" s="184"/>
      <c r="S57" s="183"/>
      <c r="T57" s="183"/>
    </row>
    <row r="58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4"/>
      <c r="O58" s="184"/>
      <c r="P58" s="184"/>
      <c r="Q58" s="184"/>
      <c r="R58" s="184"/>
      <c r="S58" s="183"/>
      <c r="T58" s="183"/>
    </row>
    <row r="59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4"/>
      <c r="O59" s="184"/>
      <c r="P59" s="184"/>
      <c r="Q59" s="184"/>
      <c r="R59" s="184"/>
      <c r="S59" s="183"/>
      <c r="T59" s="183"/>
    </row>
    <row r="60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4"/>
      <c r="O60" s="184"/>
      <c r="P60" s="184"/>
      <c r="Q60" s="184"/>
      <c r="R60" s="184"/>
      <c r="S60" s="183"/>
      <c r="T60" s="183"/>
    </row>
    <row r="6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4"/>
      <c r="O61" s="184"/>
      <c r="P61" s="184"/>
      <c r="Q61" s="184"/>
      <c r="R61" s="184"/>
      <c r="S61" s="183"/>
      <c r="T61" s="183"/>
    </row>
    <row r="62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4"/>
      <c r="O62" s="184"/>
      <c r="P62" s="184"/>
      <c r="Q62" s="184"/>
      <c r="R62" s="184"/>
      <c r="S62" s="183"/>
      <c r="T62" s="183"/>
    </row>
    <row r="63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4"/>
      <c r="O63" s="184"/>
      <c r="P63" s="184"/>
      <c r="Q63" s="184"/>
      <c r="R63" s="184"/>
      <c r="S63" s="183"/>
      <c r="T63" s="183"/>
    </row>
    <row r="64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4"/>
      <c r="O64" s="184"/>
      <c r="P64" s="184"/>
      <c r="Q64" s="184"/>
      <c r="R64" s="184"/>
      <c r="S64" s="183"/>
      <c r="T64" s="183"/>
    </row>
    <row r="65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4"/>
      <c r="O65" s="184"/>
      <c r="P65" s="184"/>
      <c r="Q65" s="184"/>
      <c r="R65" s="184"/>
      <c r="S65" s="183"/>
      <c r="T65" s="183"/>
    </row>
    <row r="66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4"/>
      <c r="O66" s="184"/>
      <c r="P66" s="184"/>
      <c r="Q66" s="184"/>
      <c r="R66" s="184"/>
      <c r="S66" s="183"/>
      <c r="T66" s="183"/>
    </row>
    <row r="67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4"/>
      <c r="O67" s="184"/>
      <c r="P67" s="184"/>
      <c r="Q67" s="184"/>
      <c r="R67" s="184"/>
      <c r="S67" s="183"/>
      <c r="T67" s="183"/>
    </row>
    <row r="68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4"/>
      <c r="O68" s="184"/>
      <c r="P68" s="184"/>
      <c r="Q68" s="184"/>
      <c r="R68" s="184"/>
      <c r="S68" s="183"/>
      <c r="T68" s="183"/>
    </row>
    <row r="69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4"/>
      <c r="O69" s="184"/>
      <c r="P69" s="184"/>
      <c r="Q69" s="184"/>
      <c r="R69" s="184"/>
      <c r="S69" s="183"/>
      <c r="T69" s="183"/>
    </row>
    <row r="70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4"/>
      <c r="O70" s="184"/>
      <c r="P70" s="184"/>
      <c r="Q70" s="184"/>
      <c r="R70" s="184"/>
      <c r="S70" s="183"/>
      <c r="T70" s="183"/>
    </row>
    <row r="7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4"/>
      <c r="O71" s="184"/>
      <c r="P71" s="184"/>
      <c r="Q71" s="184"/>
      <c r="R71" s="184"/>
      <c r="S71" s="183"/>
      <c r="T71" s="183"/>
    </row>
    <row r="72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4"/>
      <c r="O72" s="184"/>
      <c r="P72" s="184"/>
      <c r="Q72" s="184"/>
      <c r="R72" s="184"/>
      <c r="S72" s="183"/>
      <c r="T72" s="183"/>
    </row>
    <row r="73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4"/>
      <c r="O73" s="184"/>
      <c r="P73" s="184"/>
      <c r="Q73" s="184"/>
      <c r="R73" s="184"/>
      <c r="S73" s="183"/>
      <c r="T73" s="183"/>
    </row>
    <row r="74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4"/>
      <c r="O74" s="184"/>
      <c r="P74" s="184"/>
      <c r="Q74" s="184"/>
      <c r="R74" s="184"/>
      <c r="S74" s="183"/>
      <c r="T74" s="183"/>
    </row>
    <row r="75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4"/>
      <c r="O75" s="184"/>
      <c r="P75" s="184"/>
      <c r="Q75" s="184"/>
      <c r="R75" s="184"/>
      <c r="S75" s="183"/>
      <c r="T75" s="183"/>
    </row>
    <row r="76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4"/>
      <c r="O76" s="184"/>
      <c r="P76" s="184"/>
      <c r="Q76" s="184"/>
      <c r="R76" s="184"/>
      <c r="S76" s="183"/>
      <c r="T76" s="183"/>
    </row>
    <row r="77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4"/>
      <c r="O77" s="184"/>
      <c r="P77" s="184"/>
      <c r="Q77" s="184"/>
      <c r="R77" s="184"/>
      <c r="S77" s="183"/>
      <c r="T77" s="183"/>
    </row>
    <row r="78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4"/>
      <c r="O78" s="184"/>
      <c r="P78" s="184"/>
      <c r="Q78" s="184"/>
      <c r="R78" s="184"/>
      <c r="S78" s="183"/>
      <c r="T78" s="183"/>
    </row>
    <row r="79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4"/>
      <c r="O79" s="184"/>
      <c r="P79" s="184"/>
      <c r="Q79" s="184"/>
      <c r="R79" s="184"/>
      <c r="S79" s="183"/>
      <c r="T79" s="183"/>
    </row>
    <row r="80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4"/>
      <c r="O80" s="184"/>
      <c r="P80" s="184"/>
      <c r="Q80" s="184"/>
      <c r="R80" s="184"/>
      <c r="S80" s="183"/>
      <c r="T80" s="183"/>
    </row>
    <row r="8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4"/>
      <c r="O81" s="184"/>
      <c r="P81" s="184"/>
      <c r="Q81" s="184"/>
      <c r="R81" s="184"/>
      <c r="S81" s="183"/>
      <c r="T81" s="183"/>
    </row>
    <row r="82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4"/>
      <c r="O82" s="184"/>
      <c r="P82" s="184"/>
      <c r="Q82" s="184"/>
      <c r="R82" s="184"/>
      <c r="S82" s="183"/>
      <c r="T82" s="183"/>
    </row>
    <row r="83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4"/>
      <c r="O83" s="184"/>
      <c r="P83" s="184"/>
      <c r="Q83" s="184"/>
      <c r="R83" s="184"/>
      <c r="S83" s="183"/>
      <c r="T83" s="183"/>
    </row>
    <row r="84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4"/>
      <c r="O84" s="184"/>
      <c r="P84" s="184"/>
      <c r="Q84" s="184"/>
      <c r="R84" s="184"/>
      <c r="S84" s="183"/>
      <c r="T84" s="183"/>
    </row>
    <row r="85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4"/>
      <c r="O85" s="184"/>
      <c r="P85" s="184"/>
      <c r="Q85" s="184"/>
      <c r="R85" s="184"/>
      <c r="S85" s="183"/>
      <c r="T85" s="183"/>
    </row>
    <row r="86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4"/>
      <c r="O86" s="184"/>
      <c r="P86" s="184"/>
      <c r="Q86" s="184"/>
      <c r="R86" s="184"/>
      <c r="S86" s="183"/>
      <c r="T86" s="183"/>
    </row>
    <row r="87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4"/>
      <c r="O87" s="184"/>
      <c r="P87" s="184"/>
      <c r="Q87" s="184"/>
      <c r="R87" s="184"/>
      <c r="S87" s="183"/>
      <c r="T87" s="183"/>
    </row>
    <row r="88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4"/>
      <c r="O88" s="184"/>
      <c r="P88" s="184"/>
      <c r="Q88" s="184"/>
      <c r="R88" s="184"/>
      <c r="S88" s="183"/>
      <c r="T88" s="183"/>
    </row>
    <row r="89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4"/>
      <c r="O89" s="184"/>
      <c r="P89" s="184"/>
      <c r="Q89" s="184"/>
      <c r="R89" s="184"/>
      <c r="S89" s="183"/>
      <c r="T89" s="183"/>
    </row>
    <row r="90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4"/>
      <c r="O90" s="184"/>
      <c r="P90" s="184"/>
      <c r="Q90" s="184"/>
      <c r="R90" s="184"/>
      <c r="S90" s="183"/>
      <c r="T90" s="183"/>
    </row>
    <row r="9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4"/>
      <c r="O91" s="184"/>
      <c r="P91" s="184"/>
      <c r="Q91" s="184"/>
      <c r="R91" s="184"/>
      <c r="S91" s="183"/>
      <c r="T91" s="183"/>
    </row>
    <row r="92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4"/>
      <c r="O92" s="184"/>
      <c r="P92" s="184"/>
      <c r="Q92" s="184"/>
      <c r="R92" s="184"/>
      <c r="S92" s="183"/>
      <c r="T92" s="183"/>
    </row>
    <row r="93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4"/>
      <c r="O93" s="184"/>
      <c r="P93" s="184"/>
      <c r="Q93" s="184"/>
      <c r="R93" s="184"/>
      <c r="S93" s="183"/>
      <c r="T93" s="183"/>
    </row>
    <row r="94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4"/>
      <c r="O94" s="184"/>
      <c r="P94" s="184"/>
      <c r="Q94" s="184"/>
      <c r="R94" s="184"/>
      <c r="S94" s="183"/>
      <c r="T94" s="183"/>
    </row>
    <row r="95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4"/>
      <c r="O95" s="184"/>
      <c r="P95" s="184"/>
      <c r="Q95" s="184"/>
      <c r="R95" s="184"/>
      <c r="S95" s="183"/>
      <c r="T95" s="183"/>
    </row>
    <row r="96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4"/>
      <c r="O96" s="184"/>
      <c r="P96" s="184"/>
      <c r="Q96" s="184"/>
      <c r="R96" s="184"/>
      <c r="S96" s="183"/>
      <c r="T96" s="183"/>
    </row>
    <row r="97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4"/>
      <c r="O97" s="184"/>
      <c r="P97" s="184"/>
      <c r="Q97" s="184"/>
      <c r="R97" s="184"/>
      <c r="S97" s="183"/>
      <c r="T97" s="183"/>
    </row>
    <row r="98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4"/>
      <c r="O98" s="184"/>
      <c r="P98" s="184"/>
      <c r="Q98" s="184"/>
      <c r="R98" s="184"/>
      <c r="S98" s="183"/>
      <c r="T98" s="183"/>
    </row>
    <row r="99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4"/>
      <c r="O99" s="184"/>
      <c r="P99" s="184"/>
      <c r="Q99" s="184"/>
      <c r="R99" s="184"/>
      <c r="S99" s="183"/>
      <c r="T99" s="183"/>
    </row>
    <row r="100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4"/>
      <c r="O100" s="184"/>
      <c r="P100" s="184"/>
      <c r="Q100" s="184"/>
      <c r="R100" s="184"/>
      <c r="S100" s="183"/>
      <c r="T100" s="183"/>
    </row>
    <row r="10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4"/>
      <c r="O101" s="184"/>
      <c r="P101" s="184"/>
      <c r="Q101" s="184"/>
      <c r="R101" s="184"/>
      <c r="S101" s="183"/>
      <c r="T101" s="183"/>
    </row>
    <row r="102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4"/>
      <c r="O102" s="184"/>
      <c r="P102" s="184"/>
      <c r="Q102" s="184"/>
      <c r="R102" s="184"/>
      <c r="S102" s="183"/>
      <c r="T102" s="183"/>
    </row>
    <row r="103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4"/>
      <c r="O103" s="184"/>
      <c r="P103" s="184"/>
      <c r="Q103" s="184"/>
      <c r="R103" s="184"/>
      <c r="S103" s="183"/>
      <c r="T103" s="183"/>
    </row>
    <row r="104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4"/>
      <c r="O104" s="184"/>
      <c r="P104" s="184"/>
      <c r="Q104" s="184"/>
      <c r="R104" s="184"/>
      <c r="S104" s="183"/>
      <c r="T104" s="183"/>
    </row>
    <row r="105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4"/>
      <c r="O105" s="184"/>
      <c r="P105" s="184"/>
      <c r="Q105" s="184"/>
      <c r="R105" s="184"/>
      <c r="S105" s="183"/>
      <c r="T105" s="183"/>
    </row>
    <row r="106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4"/>
      <c r="O106" s="184"/>
      <c r="P106" s="184"/>
      <c r="Q106" s="184"/>
      <c r="R106" s="184"/>
      <c r="S106" s="183"/>
      <c r="T106" s="183"/>
    </row>
    <row r="107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4"/>
      <c r="O107" s="184"/>
      <c r="P107" s="184"/>
      <c r="Q107" s="184"/>
      <c r="R107" s="184"/>
      <c r="S107" s="183"/>
      <c r="T107" s="183"/>
    </row>
    <row r="108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4"/>
      <c r="O108" s="184"/>
      <c r="P108" s="184"/>
      <c r="Q108" s="184"/>
      <c r="R108" s="184"/>
      <c r="S108" s="183"/>
      <c r="T108" s="183"/>
    </row>
    <row r="109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4"/>
      <c r="O109" s="184"/>
      <c r="P109" s="184"/>
      <c r="Q109" s="184"/>
      <c r="R109" s="184"/>
      <c r="S109" s="183"/>
      <c r="T109" s="183"/>
    </row>
    <row r="110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4"/>
      <c r="O110" s="184"/>
      <c r="P110" s="184"/>
      <c r="Q110" s="184"/>
      <c r="R110" s="184"/>
      <c r="S110" s="183"/>
      <c r="T110" s="183"/>
    </row>
    <row r="11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4"/>
      <c r="O111" s="184"/>
      <c r="P111" s="184"/>
      <c r="Q111" s="184"/>
      <c r="R111" s="184"/>
      <c r="S111" s="183"/>
      <c r="T111" s="183"/>
    </row>
    <row r="112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4"/>
      <c r="O112" s="184"/>
      <c r="P112" s="184"/>
      <c r="Q112" s="184"/>
      <c r="R112" s="184"/>
      <c r="S112" s="183"/>
      <c r="T112" s="183"/>
    </row>
    <row r="113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4"/>
      <c r="O113" s="184"/>
      <c r="P113" s="184"/>
      <c r="Q113" s="184"/>
      <c r="R113" s="184"/>
      <c r="S113" s="183"/>
      <c r="T113" s="183"/>
    </row>
    <row r="114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4"/>
      <c r="O114" s="184"/>
      <c r="P114" s="184"/>
      <c r="Q114" s="184"/>
      <c r="R114" s="184"/>
      <c r="S114" s="183"/>
      <c r="T114" s="183"/>
    </row>
    <row r="115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4"/>
      <c r="O115" s="184"/>
      <c r="P115" s="184"/>
      <c r="Q115" s="184"/>
      <c r="R115" s="184"/>
      <c r="S115" s="183"/>
      <c r="T115" s="183"/>
    </row>
    <row r="116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4"/>
      <c r="O116" s="184"/>
      <c r="P116" s="184"/>
      <c r="Q116" s="184"/>
      <c r="R116" s="184"/>
      <c r="S116" s="183"/>
      <c r="T116" s="183"/>
    </row>
    <row r="117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4"/>
      <c r="O117" s="184"/>
      <c r="P117" s="184"/>
      <c r="Q117" s="184"/>
      <c r="R117" s="184"/>
      <c r="S117" s="183"/>
      <c r="T117" s="183"/>
    </row>
    <row r="118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4"/>
      <c r="O118" s="184"/>
      <c r="P118" s="184"/>
      <c r="Q118" s="184"/>
      <c r="R118" s="184"/>
      <c r="S118" s="183"/>
      <c r="T118" s="183"/>
    </row>
    <row r="119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4"/>
      <c r="O119" s="184"/>
      <c r="P119" s="184"/>
      <c r="Q119" s="184"/>
      <c r="R119" s="184"/>
      <c r="S119" s="183"/>
      <c r="T119" s="183"/>
    </row>
    <row r="120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4"/>
      <c r="O120" s="184"/>
      <c r="P120" s="184"/>
      <c r="Q120" s="184"/>
      <c r="R120" s="184"/>
      <c r="S120" s="183"/>
      <c r="T120" s="183"/>
    </row>
    <row r="12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4"/>
      <c r="O121" s="184"/>
      <c r="P121" s="184"/>
      <c r="Q121" s="184"/>
      <c r="R121" s="184"/>
      <c r="S121" s="183"/>
      <c r="T121" s="183"/>
    </row>
    <row r="122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4"/>
      <c r="O122" s="184"/>
      <c r="P122" s="184"/>
      <c r="Q122" s="184"/>
      <c r="R122" s="184"/>
      <c r="S122" s="183"/>
      <c r="T122" s="183"/>
    </row>
    <row r="123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4"/>
      <c r="O123" s="184"/>
      <c r="P123" s="184"/>
      <c r="Q123" s="184"/>
      <c r="R123" s="184"/>
      <c r="S123" s="183"/>
      <c r="T123" s="183"/>
    </row>
    <row r="124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4"/>
      <c r="O124" s="184"/>
      <c r="P124" s="184"/>
      <c r="Q124" s="184"/>
      <c r="R124" s="184"/>
      <c r="S124" s="183"/>
      <c r="T124" s="183"/>
    </row>
    <row r="125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4"/>
      <c r="O125" s="184"/>
      <c r="P125" s="184"/>
      <c r="Q125" s="184"/>
      <c r="R125" s="184"/>
      <c r="S125" s="183"/>
      <c r="T125" s="183"/>
    </row>
    <row r="126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4"/>
      <c r="O126" s="184"/>
      <c r="P126" s="184"/>
      <c r="Q126" s="184"/>
      <c r="R126" s="184"/>
      <c r="S126" s="183"/>
      <c r="T126" s="183"/>
    </row>
    <row r="127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4"/>
      <c r="O127" s="184"/>
      <c r="P127" s="184"/>
      <c r="Q127" s="184"/>
      <c r="R127" s="184"/>
      <c r="S127" s="183"/>
      <c r="T127" s="183"/>
    </row>
    <row r="128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4"/>
      <c r="O128" s="184"/>
      <c r="P128" s="184"/>
      <c r="Q128" s="184"/>
      <c r="R128" s="184"/>
      <c r="S128" s="183"/>
      <c r="T128" s="183"/>
    </row>
    <row r="129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4"/>
      <c r="O129" s="184"/>
      <c r="P129" s="184"/>
      <c r="Q129" s="184"/>
      <c r="R129" s="184"/>
      <c r="S129" s="183"/>
      <c r="T129" s="183"/>
    </row>
    <row r="130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4"/>
      <c r="O130" s="184"/>
      <c r="P130" s="184"/>
      <c r="Q130" s="184"/>
      <c r="R130" s="184"/>
      <c r="S130" s="183"/>
      <c r="T130" s="183"/>
    </row>
    <row r="13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4"/>
      <c r="O131" s="184"/>
      <c r="P131" s="184"/>
      <c r="Q131" s="184"/>
      <c r="R131" s="184"/>
      <c r="S131" s="183"/>
      <c r="T131" s="183"/>
    </row>
    <row r="132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4"/>
      <c r="O132" s="184"/>
      <c r="P132" s="184"/>
      <c r="Q132" s="184"/>
      <c r="R132" s="184"/>
      <c r="S132" s="183"/>
      <c r="T132" s="183"/>
    </row>
    <row r="133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4"/>
      <c r="O133" s="184"/>
      <c r="P133" s="184"/>
      <c r="Q133" s="184"/>
      <c r="R133" s="184"/>
      <c r="S133" s="183"/>
      <c r="T133" s="183"/>
    </row>
    <row r="134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4"/>
      <c r="O134" s="184"/>
      <c r="P134" s="184"/>
      <c r="Q134" s="184"/>
      <c r="R134" s="184"/>
      <c r="S134" s="183"/>
      <c r="T134" s="183"/>
    </row>
    <row r="135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4"/>
      <c r="O135" s="184"/>
      <c r="P135" s="184"/>
      <c r="Q135" s="184"/>
      <c r="R135" s="184"/>
      <c r="S135" s="183"/>
      <c r="T135" s="183"/>
    </row>
    <row r="136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4"/>
      <c r="O136" s="184"/>
      <c r="P136" s="184"/>
      <c r="Q136" s="184"/>
      <c r="R136" s="184"/>
      <c r="S136" s="183"/>
      <c r="T136" s="183"/>
    </row>
    <row r="137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4"/>
      <c r="O137" s="184"/>
      <c r="P137" s="184"/>
      <c r="Q137" s="184"/>
      <c r="R137" s="184"/>
      <c r="S137" s="183"/>
      <c r="T137" s="183"/>
    </row>
    <row r="138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4"/>
      <c r="O138" s="184"/>
      <c r="P138" s="184"/>
      <c r="Q138" s="184"/>
      <c r="R138" s="184"/>
      <c r="S138" s="183"/>
      <c r="T138" s="183"/>
    </row>
    <row r="139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4"/>
      <c r="O139" s="184"/>
      <c r="P139" s="184"/>
      <c r="Q139" s="184"/>
      <c r="R139" s="184"/>
      <c r="S139" s="183"/>
      <c r="T139" s="183"/>
    </row>
    <row r="140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4"/>
      <c r="O140" s="184"/>
      <c r="P140" s="184"/>
      <c r="Q140" s="184"/>
      <c r="R140" s="184"/>
      <c r="S140" s="183"/>
      <c r="T140" s="183"/>
    </row>
    <row r="14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4"/>
      <c r="O141" s="184"/>
      <c r="P141" s="184"/>
      <c r="Q141" s="184"/>
      <c r="R141" s="184"/>
      <c r="S141" s="183"/>
      <c r="T141" s="183"/>
    </row>
    <row r="142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4"/>
      <c r="O142" s="184"/>
      <c r="P142" s="184"/>
      <c r="Q142" s="184"/>
      <c r="R142" s="184"/>
      <c r="S142" s="183"/>
      <c r="T142" s="183"/>
    </row>
    <row r="143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4"/>
      <c r="O143" s="184"/>
      <c r="P143" s="184"/>
      <c r="Q143" s="184"/>
      <c r="R143" s="184"/>
      <c r="S143" s="183"/>
      <c r="T143" s="183"/>
    </row>
    <row r="144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4"/>
      <c r="O144" s="184"/>
      <c r="P144" s="184"/>
      <c r="Q144" s="184"/>
      <c r="R144" s="184"/>
      <c r="S144" s="183"/>
      <c r="T144" s="183"/>
    </row>
    <row r="145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4"/>
      <c r="O145" s="184"/>
      <c r="P145" s="184"/>
      <c r="Q145" s="184"/>
      <c r="R145" s="184"/>
      <c r="S145" s="183"/>
      <c r="T145" s="183"/>
    </row>
    <row r="146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4"/>
      <c r="O146" s="184"/>
      <c r="P146" s="184"/>
      <c r="Q146" s="184"/>
      <c r="R146" s="184"/>
      <c r="S146" s="183"/>
      <c r="T146" s="183"/>
    </row>
    <row r="147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4"/>
      <c r="O147" s="184"/>
      <c r="P147" s="184"/>
      <c r="Q147" s="184"/>
      <c r="R147" s="184"/>
      <c r="S147" s="183"/>
      <c r="T147" s="183"/>
    </row>
    <row r="148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4"/>
      <c r="O148" s="184"/>
      <c r="P148" s="184"/>
      <c r="Q148" s="184"/>
      <c r="R148" s="184"/>
      <c r="S148" s="183"/>
      <c r="T148" s="183"/>
    </row>
    <row r="149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4"/>
      <c r="O149" s="184"/>
      <c r="P149" s="184"/>
      <c r="Q149" s="184"/>
      <c r="R149" s="184"/>
      <c r="S149" s="183"/>
      <c r="T149" s="183"/>
    </row>
    <row r="150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4"/>
      <c r="O150" s="184"/>
      <c r="P150" s="184"/>
      <c r="Q150" s="184"/>
      <c r="R150" s="184"/>
      <c r="S150" s="183"/>
      <c r="T150" s="183"/>
    </row>
    <row r="15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4"/>
      <c r="O151" s="184"/>
      <c r="P151" s="184"/>
      <c r="Q151" s="184"/>
      <c r="R151" s="184"/>
      <c r="S151" s="183"/>
      <c r="T151" s="183"/>
    </row>
    <row r="152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4"/>
      <c r="O152" s="184"/>
      <c r="P152" s="184"/>
      <c r="Q152" s="184"/>
      <c r="R152" s="184"/>
      <c r="S152" s="183"/>
      <c r="T152" s="183"/>
    </row>
    <row r="153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4"/>
      <c r="O153" s="184"/>
      <c r="P153" s="184"/>
      <c r="Q153" s="184"/>
      <c r="R153" s="184"/>
      <c r="S153" s="183"/>
      <c r="T153" s="183"/>
    </row>
    <row r="154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4"/>
      <c r="O154" s="184"/>
      <c r="P154" s="184"/>
      <c r="Q154" s="184"/>
      <c r="R154" s="184"/>
      <c r="S154" s="183"/>
      <c r="T154" s="183"/>
    </row>
    <row r="155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4"/>
      <c r="O155" s="184"/>
      <c r="P155" s="184"/>
      <c r="Q155" s="184"/>
      <c r="R155" s="184"/>
      <c r="S155" s="183"/>
      <c r="T155" s="183"/>
    </row>
    <row r="156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4"/>
      <c r="O156" s="184"/>
      <c r="P156" s="184"/>
      <c r="Q156" s="184"/>
      <c r="R156" s="184"/>
      <c r="S156" s="183"/>
      <c r="T156" s="183"/>
    </row>
    <row r="157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4"/>
      <c r="O157" s="184"/>
      <c r="P157" s="184"/>
      <c r="Q157" s="184"/>
      <c r="R157" s="184"/>
      <c r="S157" s="183"/>
      <c r="T157" s="183"/>
    </row>
    <row r="158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4"/>
      <c r="O158" s="184"/>
      <c r="P158" s="184"/>
      <c r="Q158" s="184"/>
      <c r="R158" s="184"/>
      <c r="S158" s="183"/>
      <c r="T158" s="183"/>
    </row>
    <row r="159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4"/>
      <c r="O159" s="184"/>
      <c r="P159" s="184"/>
      <c r="Q159" s="184"/>
      <c r="R159" s="184"/>
      <c r="S159" s="183"/>
      <c r="T159" s="183"/>
    </row>
    <row r="160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4"/>
      <c r="O160" s="184"/>
      <c r="P160" s="184"/>
      <c r="Q160" s="184"/>
      <c r="R160" s="184"/>
      <c r="S160" s="183"/>
      <c r="T160" s="183"/>
    </row>
    <row r="16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4"/>
      <c r="O161" s="184"/>
      <c r="P161" s="184"/>
      <c r="Q161" s="184"/>
      <c r="R161" s="184"/>
      <c r="S161" s="183"/>
      <c r="T161" s="183"/>
    </row>
    <row r="162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4"/>
      <c r="O162" s="184"/>
      <c r="P162" s="184"/>
      <c r="Q162" s="184"/>
      <c r="R162" s="184"/>
      <c r="S162" s="183"/>
      <c r="T162" s="183"/>
    </row>
    <row r="163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4"/>
      <c r="O163" s="184"/>
      <c r="P163" s="184"/>
      <c r="Q163" s="184"/>
      <c r="R163" s="184"/>
      <c r="S163" s="183"/>
      <c r="T163" s="183"/>
    </row>
    <row r="164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4"/>
      <c r="O164" s="184"/>
      <c r="P164" s="184"/>
      <c r="Q164" s="184"/>
      <c r="R164" s="184"/>
      <c r="S164" s="183"/>
      <c r="T164" s="183"/>
    </row>
    <row r="165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4"/>
      <c r="O165" s="184"/>
      <c r="P165" s="184"/>
      <c r="Q165" s="184"/>
      <c r="R165" s="184"/>
      <c r="S165" s="183"/>
      <c r="T165" s="183"/>
    </row>
    <row r="166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4"/>
      <c r="O166" s="184"/>
      <c r="P166" s="184"/>
      <c r="Q166" s="184"/>
      <c r="R166" s="184"/>
      <c r="S166" s="183"/>
      <c r="T166" s="183"/>
    </row>
    <row r="167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4"/>
      <c r="O167" s="184"/>
      <c r="P167" s="184"/>
      <c r="Q167" s="184"/>
      <c r="R167" s="184"/>
      <c r="S167" s="183"/>
      <c r="T167" s="183"/>
    </row>
    <row r="168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4"/>
      <c r="O168" s="184"/>
      <c r="P168" s="184"/>
      <c r="Q168" s="184"/>
      <c r="R168" s="184"/>
      <c r="S168" s="183"/>
      <c r="T168" s="183"/>
    </row>
    <row r="169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4"/>
      <c r="O169" s="184"/>
      <c r="P169" s="184"/>
      <c r="Q169" s="184"/>
      <c r="R169" s="184"/>
      <c r="S169" s="183"/>
      <c r="T169" s="183"/>
    </row>
    <row r="170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4"/>
      <c r="O170" s="184"/>
      <c r="P170" s="184"/>
      <c r="Q170" s="184"/>
      <c r="R170" s="184"/>
      <c r="S170" s="183"/>
      <c r="T170" s="183"/>
    </row>
    <row r="17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4"/>
      <c r="O171" s="184"/>
      <c r="P171" s="184"/>
      <c r="Q171" s="184"/>
      <c r="R171" s="184"/>
      <c r="S171" s="183"/>
      <c r="T171" s="183"/>
    </row>
    <row r="172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4"/>
      <c r="O172" s="184"/>
      <c r="P172" s="184"/>
      <c r="Q172" s="184"/>
      <c r="R172" s="184"/>
      <c r="S172" s="183"/>
      <c r="T172" s="183"/>
    </row>
    <row r="173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4"/>
      <c r="O173" s="184"/>
      <c r="P173" s="184"/>
      <c r="Q173" s="184"/>
      <c r="R173" s="184"/>
      <c r="S173" s="183"/>
      <c r="T173" s="183"/>
    </row>
    <row r="174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4"/>
      <c r="O174" s="184"/>
      <c r="P174" s="184"/>
      <c r="Q174" s="184"/>
      <c r="R174" s="184"/>
      <c r="S174" s="183"/>
      <c r="T174" s="183"/>
    </row>
    <row r="175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4"/>
      <c r="O175" s="184"/>
      <c r="P175" s="184"/>
      <c r="Q175" s="184"/>
      <c r="R175" s="184"/>
      <c r="S175" s="183"/>
      <c r="T175" s="183"/>
    </row>
    <row r="176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4"/>
      <c r="O176" s="184"/>
      <c r="P176" s="184"/>
      <c r="Q176" s="184"/>
      <c r="R176" s="184"/>
      <c r="S176" s="183"/>
      <c r="T176" s="183"/>
    </row>
    <row r="177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4"/>
      <c r="O177" s="184"/>
      <c r="P177" s="184"/>
      <c r="Q177" s="184"/>
      <c r="R177" s="184"/>
      <c r="S177" s="183"/>
      <c r="T177" s="183"/>
    </row>
    <row r="178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4"/>
      <c r="O178" s="184"/>
      <c r="P178" s="184"/>
      <c r="Q178" s="184"/>
      <c r="R178" s="184"/>
      <c r="S178" s="183"/>
      <c r="T178" s="183"/>
    </row>
    <row r="179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4"/>
      <c r="O179" s="184"/>
      <c r="P179" s="184"/>
      <c r="Q179" s="184"/>
      <c r="R179" s="184"/>
      <c r="S179" s="183"/>
      <c r="T179" s="183"/>
    </row>
    <row r="180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4"/>
      <c r="O180" s="184"/>
      <c r="P180" s="184"/>
      <c r="Q180" s="184"/>
      <c r="R180" s="184"/>
      <c r="S180" s="183"/>
      <c r="T180" s="183"/>
    </row>
    <row r="18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4"/>
      <c r="O181" s="184"/>
      <c r="P181" s="184"/>
      <c r="Q181" s="184"/>
      <c r="R181" s="184"/>
      <c r="S181" s="183"/>
      <c r="T181" s="183"/>
    </row>
    <row r="182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4"/>
      <c r="O182" s="184"/>
      <c r="P182" s="184"/>
      <c r="Q182" s="184"/>
      <c r="R182" s="184"/>
      <c r="S182" s="183"/>
      <c r="T182" s="183"/>
    </row>
    <row r="183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4"/>
      <c r="O183" s="184"/>
      <c r="P183" s="184"/>
      <c r="Q183" s="184"/>
      <c r="R183" s="184"/>
      <c r="S183" s="183"/>
      <c r="T183" s="183"/>
    </row>
    <row r="184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4"/>
      <c r="O184" s="184"/>
      <c r="P184" s="184"/>
      <c r="Q184" s="184"/>
      <c r="R184" s="184"/>
      <c r="S184" s="183"/>
      <c r="T184" s="183"/>
    </row>
    <row r="185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4"/>
      <c r="O185" s="184"/>
      <c r="P185" s="184"/>
      <c r="Q185" s="184"/>
      <c r="R185" s="184"/>
      <c r="S185" s="183"/>
      <c r="T185" s="183"/>
    </row>
    <row r="186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4"/>
      <c r="O186" s="184"/>
      <c r="P186" s="184"/>
      <c r="Q186" s="184"/>
      <c r="R186" s="184"/>
      <c r="S186" s="183"/>
      <c r="T186" s="183"/>
    </row>
    <row r="187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4"/>
      <c r="O187" s="184"/>
      <c r="P187" s="184"/>
      <c r="Q187" s="184"/>
      <c r="R187" s="184"/>
      <c r="S187" s="183"/>
      <c r="T187" s="183"/>
    </row>
    <row r="188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4"/>
      <c r="O188" s="184"/>
      <c r="P188" s="184"/>
      <c r="Q188" s="184"/>
      <c r="R188" s="184"/>
      <c r="S188" s="183"/>
      <c r="T188" s="183"/>
    </row>
    <row r="189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4"/>
      <c r="O189" s="184"/>
      <c r="P189" s="184"/>
      <c r="Q189" s="184"/>
      <c r="R189" s="184"/>
      <c r="S189" s="183"/>
      <c r="T189" s="183"/>
    </row>
    <row r="190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4"/>
      <c r="O190" s="184"/>
      <c r="P190" s="184"/>
      <c r="Q190" s="184"/>
      <c r="R190" s="184"/>
      <c r="S190" s="183"/>
      <c r="T190" s="183"/>
    </row>
    <row r="19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4"/>
      <c r="O191" s="184"/>
      <c r="P191" s="184"/>
      <c r="Q191" s="184"/>
      <c r="R191" s="184"/>
      <c r="S191" s="183"/>
      <c r="T191" s="183"/>
    </row>
    <row r="192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4"/>
      <c r="O192" s="184"/>
      <c r="P192" s="184"/>
      <c r="Q192" s="184"/>
      <c r="R192" s="184"/>
      <c r="S192" s="183"/>
      <c r="T192" s="183"/>
    </row>
    <row r="193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4"/>
      <c r="O193" s="184"/>
      <c r="P193" s="184"/>
      <c r="Q193" s="184"/>
      <c r="R193" s="184"/>
      <c r="S193" s="183"/>
      <c r="T193" s="183"/>
    </row>
    <row r="194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4"/>
      <c r="O194" s="184"/>
      <c r="P194" s="184"/>
      <c r="Q194" s="184"/>
      <c r="R194" s="184"/>
      <c r="S194" s="183"/>
      <c r="T194" s="183"/>
    </row>
    <row r="195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4"/>
      <c r="O195" s="184"/>
      <c r="P195" s="184"/>
      <c r="Q195" s="184"/>
      <c r="R195" s="184"/>
      <c r="S195" s="183"/>
      <c r="T195" s="183"/>
    </row>
    <row r="196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4"/>
      <c r="O196" s="184"/>
      <c r="P196" s="184"/>
      <c r="Q196" s="184"/>
      <c r="R196" s="184"/>
      <c r="S196" s="183"/>
      <c r="T196" s="183"/>
    </row>
    <row r="197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4"/>
      <c r="O197" s="184"/>
      <c r="P197" s="184"/>
      <c r="Q197" s="184"/>
      <c r="R197" s="184"/>
      <c r="S197" s="183"/>
      <c r="T197" s="183"/>
    </row>
    <row r="198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4"/>
      <c r="O198" s="184"/>
      <c r="P198" s="184"/>
      <c r="Q198" s="184"/>
      <c r="R198" s="184"/>
      <c r="S198" s="183"/>
      <c r="T198" s="183"/>
    </row>
    <row r="199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4"/>
      <c r="O199" s="184"/>
      <c r="P199" s="184"/>
      <c r="Q199" s="184"/>
      <c r="R199" s="184"/>
      <c r="S199" s="183"/>
      <c r="T199" s="183"/>
    </row>
    <row r="200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4"/>
      <c r="O200" s="184"/>
      <c r="P200" s="184"/>
      <c r="Q200" s="184"/>
      <c r="R200" s="184"/>
      <c r="S200" s="183"/>
      <c r="T200" s="183"/>
    </row>
    <row r="20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4"/>
      <c r="O201" s="184"/>
      <c r="P201" s="184"/>
      <c r="Q201" s="184"/>
      <c r="R201" s="184"/>
      <c r="S201" s="183"/>
      <c r="T201" s="183"/>
    </row>
    <row r="202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4"/>
      <c r="O202" s="184"/>
      <c r="P202" s="184"/>
      <c r="Q202" s="184"/>
      <c r="R202" s="184"/>
      <c r="S202" s="183"/>
      <c r="T202" s="183"/>
    </row>
    <row r="203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4"/>
      <c r="O203" s="184"/>
      <c r="P203" s="184"/>
      <c r="Q203" s="184"/>
      <c r="R203" s="184"/>
      <c r="S203" s="183"/>
      <c r="T203" s="183"/>
    </row>
    <row r="204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4"/>
      <c r="O204" s="184"/>
      <c r="P204" s="184"/>
      <c r="Q204" s="184"/>
      <c r="R204" s="184"/>
      <c r="S204" s="183"/>
      <c r="T204" s="183"/>
    </row>
    <row r="205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4"/>
      <c r="O205" s="184"/>
      <c r="P205" s="184"/>
      <c r="Q205" s="184"/>
      <c r="R205" s="184"/>
      <c r="S205" s="183"/>
      <c r="T205" s="183"/>
    </row>
    <row r="206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4"/>
      <c r="O206" s="184"/>
      <c r="P206" s="184"/>
      <c r="Q206" s="184"/>
      <c r="R206" s="184"/>
      <c r="S206" s="183"/>
      <c r="T206" s="183"/>
    </row>
    <row r="207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4"/>
      <c r="O207" s="184"/>
      <c r="P207" s="184"/>
      <c r="Q207" s="184"/>
      <c r="R207" s="184"/>
      <c r="S207" s="183"/>
      <c r="T207" s="183"/>
    </row>
    <row r="208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4"/>
      <c r="O208" s="184"/>
      <c r="P208" s="184"/>
      <c r="Q208" s="184"/>
      <c r="R208" s="184"/>
      <c r="S208" s="183"/>
      <c r="T208" s="183"/>
    </row>
    <row r="209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4"/>
      <c r="O209" s="184"/>
      <c r="P209" s="184"/>
      <c r="Q209" s="184"/>
      <c r="R209" s="184"/>
      <c r="S209" s="183"/>
      <c r="T209" s="183"/>
    </row>
    <row r="210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4"/>
      <c r="O210" s="184"/>
      <c r="P210" s="184"/>
      <c r="Q210" s="184"/>
      <c r="R210" s="184"/>
      <c r="S210" s="183"/>
      <c r="T210" s="183"/>
    </row>
    <row r="21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4"/>
      <c r="O211" s="184"/>
      <c r="P211" s="184"/>
      <c r="Q211" s="184"/>
      <c r="R211" s="184"/>
      <c r="S211" s="183"/>
      <c r="T211" s="183"/>
    </row>
    <row r="212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4"/>
      <c r="O212" s="184"/>
      <c r="P212" s="184"/>
      <c r="Q212" s="184"/>
      <c r="R212" s="184"/>
      <c r="S212" s="183"/>
      <c r="T212" s="183"/>
    </row>
    <row r="213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4"/>
      <c r="O213" s="184"/>
      <c r="P213" s="184"/>
      <c r="Q213" s="184"/>
      <c r="R213" s="184"/>
      <c r="S213" s="183"/>
      <c r="T213" s="183"/>
    </row>
    <row r="214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4"/>
      <c r="O214" s="184"/>
      <c r="P214" s="184"/>
      <c r="Q214" s="184"/>
      <c r="R214" s="184"/>
      <c r="S214" s="183"/>
      <c r="T214" s="183"/>
    </row>
    <row r="215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4"/>
      <c r="O215" s="184"/>
      <c r="P215" s="184"/>
      <c r="Q215" s="184"/>
      <c r="R215" s="184"/>
      <c r="S215" s="183"/>
      <c r="T215" s="183"/>
    </row>
    <row r="216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4"/>
      <c r="O216" s="184"/>
      <c r="P216" s="184"/>
      <c r="Q216" s="184"/>
      <c r="R216" s="184"/>
      <c r="S216" s="183"/>
      <c r="T216" s="183"/>
    </row>
    <row r="217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4"/>
      <c r="O217" s="184"/>
      <c r="P217" s="184"/>
      <c r="Q217" s="184"/>
      <c r="R217" s="184"/>
      <c r="S217" s="183"/>
      <c r="T217" s="183"/>
    </row>
    <row r="218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4"/>
      <c r="O218" s="184"/>
      <c r="P218" s="184"/>
      <c r="Q218" s="184"/>
      <c r="R218" s="184"/>
      <c r="S218" s="183"/>
      <c r="T218" s="183"/>
    </row>
    <row r="219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4"/>
      <c r="O219" s="184"/>
      <c r="P219" s="184"/>
      <c r="Q219" s="184"/>
      <c r="R219" s="184"/>
      <c r="S219" s="183"/>
      <c r="T219" s="183"/>
    </row>
    <row r="220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4"/>
      <c r="O220" s="184"/>
      <c r="P220" s="184"/>
      <c r="Q220" s="184"/>
      <c r="R220" s="184"/>
      <c r="S220" s="183"/>
      <c r="T220" s="183"/>
    </row>
    <row r="22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4"/>
      <c r="O221" s="184"/>
      <c r="P221" s="184"/>
      <c r="Q221" s="184"/>
      <c r="R221" s="184"/>
      <c r="S221" s="183"/>
      <c r="T221" s="183"/>
    </row>
    <row r="222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4"/>
      <c r="O222" s="184"/>
      <c r="P222" s="184"/>
      <c r="Q222" s="184"/>
      <c r="R222" s="184"/>
      <c r="S222" s="183"/>
      <c r="T222" s="183"/>
    </row>
    <row r="223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4"/>
      <c r="O223" s="184"/>
      <c r="P223" s="184"/>
      <c r="Q223" s="184"/>
      <c r="R223" s="184"/>
      <c r="S223" s="183"/>
      <c r="T223" s="183"/>
    </row>
    <row r="224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4"/>
      <c r="O224" s="184"/>
      <c r="P224" s="184"/>
      <c r="Q224" s="184"/>
      <c r="R224" s="184"/>
      <c r="S224" s="183"/>
      <c r="T224" s="183"/>
    </row>
    <row r="225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4"/>
      <c r="O225" s="184"/>
      <c r="P225" s="184"/>
      <c r="Q225" s="184"/>
      <c r="R225" s="184"/>
      <c r="S225" s="183"/>
      <c r="T225" s="183"/>
    </row>
    <row r="226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4"/>
      <c r="O226" s="184"/>
      <c r="P226" s="184"/>
      <c r="Q226" s="184"/>
      <c r="R226" s="184"/>
      <c r="S226" s="183"/>
      <c r="T226" s="183"/>
    </row>
    <row r="227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4"/>
      <c r="O227" s="184"/>
      <c r="P227" s="184"/>
      <c r="Q227" s="184"/>
      <c r="R227" s="184"/>
      <c r="S227" s="183"/>
      <c r="T227" s="183"/>
    </row>
    <row r="228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4"/>
      <c r="O228" s="184"/>
      <c r="P228" s="184"/>
      <c r="Q228" s="184"/>
      <c r="R228" s="184"/>
      <c r="S228" s="183"/>
      <c r="T228" s="183"/>
    </row>
    <row r="229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4"/>
      <c r="O229" s="184"/>
      <c r="P229" s="184"/>
      <c r="Q229" s="184"/>
      <c r="R229" s="184"/>
      <c r="S229" s="183"/>
      <c r="T229" s="183"/>
    </row>
    <row r="230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4"/>
      <c r="O230" s="184"/>
      <c r="P230" s="184"/>
      <c r="Q230" s="184"/>
      <c r="R230" s="184"/>
      <c r="S230" s="183"/>
      <c r="T230" s="183"/>
    </row>
    <row r="23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4"/>
      <c r="O231" s="184"/>
      <c r="P231" s="184"/>
      <c r="Q231" s="184"/>
      <c r="R231" s="184"/>
      <c r="S231" s="183"/>
      <c r="T231" s="183"/>
    </row>
    <row r="232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4"/>
      <c r="O232" s="184"/>
      <c r="P232" s="184"/>
      <c r="Q232" s="184"/>
      <c r="R232" s="184"/>
      <c r="S232" s="183"/>
      <c r="T232" s="183"/>
    </row>
    <row r="233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4"/>
      <c r="O233" s="184"/>
      <c r="P233" s="184"/>
      <c r="Q233" s="184"/>
      <c r="R233" s="184"/>
      <c r="S233" s="183"/>
      <c r="T233" s="183"/>
    </row>
    <row r="234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4"/>
      <c r="O234" s="184"/>
      <c r="P234" s="184"/>
      <c r="Q234" s="184"/>
      <c r="R234" s="184"/>
      <c r="S234" s="183"/>
      <c r="T234" s="183"/>
    </row>
    <row r="235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4"/>
      <c r="O235" s="184"/>
      <c r="P235" s="184"/>
      <c r="Q235" s="184"/>
      <c r="R235" s="184"/>
      <c r="S235" s="183"/>
      <c r="T235" s="183"/>
    </row>
    <row r="236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4"/>
      <c r="O236" s="184"/>
      <c r="P236" s="184"/>
      <c r="Q236" s="184"/>
      <c r="R236" s="184"/>
      <c r="S236" s="183"/>
      <c r="T236" s="183"/>
    </row>
    <row r="237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4"/>
      <c r="O237" s="184"/>
      <c r="P237" s="184"/>
      <c r="Q237" s="184"/>
      <c r="R237" s="184"/>
      <c r="S237" s="183"/>
      <c r="T237" s="183"/>
    </row>
    <row r="238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4"/>
      <c r="O238" s="184"/>
      <c r="P238" s="184"/>
      <c r="Q238" s="184"/>
      <c r="R238" s="184"/>
      <c r="S238" s="183"/>
      <c r="T238" s="183"/>
    </row>
    <row r="239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4"/>
      <c r="O239" s="184"/>
      <c r="P239" s="184"/>
      <c r="Q239" s="184"/>
      <c r="R239" s="184"/>
      <c r="S239" s="183"/>
      <c r="T239" s="183"/>
    </row>
    <row r="240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4"/>
      <c r="O240" s="184"/>
      <c r="P240" s="184"/>
      <c r="Q240" s="184"/>
      <c r="R240" s="184"/>
      <c r="S240" s="183"/>
      <c r="T240" s="183"/>
    </row>
    <row r="24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4"/>
      <c r="O241" s="184"/>
      <c r="P241" s="184"/>
      <c r="Q241" s="184"/>
      <c r="R241" s="184"/>
      <c r="S241" s="183"/>
      <c r="T241" s="183"/>
    </row>
    <row r="242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4"/>
      <c r="O242" s="184"/>
      <c r="P242" s="184"/>
      <c r="Q242" s="184"/>
      <c r="R242" s="184"/>
      <c r="S242" s="183"/>
      <c r="T242" s="183"/>
    </row>
    <row r="243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4"/>
      <c r="O243" s="184"/>
      <c r="P243" s="184"/>
      <c r="Q243" s="184"/>
      <c r="R243" s="184"/>
      <c r="S243" s="183"/>
      <c r="T243" s="183"/>
    </row>
    <row r="244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4"/>
      <c r="O244" s="184"/>
      <c r="P244" s="184"/>
      <c r="Q244" s="184"/>
      <c r="R244" s="184"/>
      <c r="S244" s="183"/>
      <c r="T244" s="183"/>
    </row>
    <row r="245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4"/>
      <c r="O245" s="184"/>
      <c r="P245" s="184"/>
      <c r="Q245" s="184"/>
      <c r="R245" s="184"/>
      <c r="S245" s="183"/>
      <c r="T245" s="183"/>
    </row>
    <row r="246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4"/>
      <c r="O246" s="184"/>
      <c r="P246" s="184"/>
      <c r="Q246" s="184"/>
      <c r="R246" s="184"/>
      <c r="S246" s="183"/>
      <c r="T246" s="183"/>
    </row>
    <row r="247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4"/>
      <c r="O247" s="184"/>
      <c r="P247" s="184"/>
      <c r="Q247" s="184"/>
      <c r="R247" s="184"/>
      <c r="S247" s="183"/>
      <c r="T247" s="183"/>
    </row>
    <row r="248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4"/>
      <c r="O248" s="184"/>
      <c r="P248" s="184"/>
      <c r="Q248" s="184"/>
      <c r="R248" s="184"/>
      <c r="S248" s="183"/>
      <c r="T248" s="183"/>
    </row>
    <row r="249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4"/>
      <c r="O249" s="184"/>
      <c r="P249" s="184"/>
      <c r="Q249" s="184"/>
      <c r="R249" s="184"/>
      <c r="S249" s="183"/>
      <c r="T249" s="183"/>
    </row>
    <row r="250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4"/>
      <c r="O250" s="184"/>
      <c r="P250" s="184"/>
      <c r="Q250" s="184"/>
      <c r="R250" s="184"/>
      <c r="S250" s="183"/>
      <c r="T250" s="183"/>
    </row>
    <row r="25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4"/>
      <c r="O251" s="184"/>
      <c r="P251" s="184"/>
      <c r="Q251" s="184"/>
      <c r="R251" s="184"/>
      <c r="S251" s="183"/>
      <c r="T251" s="183"/>
    </row>
    <row r="252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4"/>
      <c r="O252" s="184"/>
      <c r="P252" s="184"/>
      <c r="Q252" s="184"/>
      <c r="R252" s="184"/>
      <c r="S252" s="183"/>
      <c r="T252" s="183"/>
    </row>
    <row r="253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4"/>
      <c r="O253" s="184"/>
      <c r="P253" s="184"/>
      <c r="Q253" s="184"/>
      <c r="R253" s="184"/>
      <c r="S253" s="183"/>
      <c r="T253" s="183"/>
    </row>
    <row r="254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4"/>
      <c r="O254" s="184"/>
      <c r="P254" s="184"/>
      <c r="Q254" s="184"/>
      <c r="R254" s="184"/>
      <c r="S254" s="183"/>
      <c r="T254" s="183"/>
    </row>
    <row r="255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4"/>
      <c r="O255" s="184"/>
      <c r="P255" s="184"/>
      <c r="Q255" s="184"/>
      <c r="R255" s="184"/>
      <c r="S255" s="183"/>
      <c r="T255" s="183"/>
    </row>
    <row r="256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4"/>
      <c r="O256" s="184"/>
      <c r="P256" s="184"/>
      <c r="Q256" s="184"/>
      <c r="R256" s="184"/>
      <c r="S256" s="183"/>
      <c r="T256" s="183"/>
    </row>
    <row r="257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4"/>
      <c r="O257" s="184"/>
      <c r="P257" s="184"/>
      <c r="Q257" s="184"/>
      <c r="R257" s="184"/>
      <c r="S257" s="183"/>
      <c r="T257" s="183"/>
    </row>
    <row r="258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4"/>
      <c r="O258" s="184"/>
      <c r="P258" s="184"/>
      <c r="Q258" s="184"/>
      <c r="R258" s="184"/>
      <c r="S258" s="183"/>
      <c r="T258" s="183"/>
    </row>
    <row r="259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4"/>
      <c r="O259" s="184"/>
      <c r="P259" s="184"/>
      <c r="Q259" s="184"/>
      <c r="R259" s="184"/>
      <c r="S259" s="183"/>
      <c r="T259" s="183"/>
    </row>
    <row r="260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4"/>
      <c r="O260" s="184"/>
      <c r="P260" s="184"/>
      <c r="Q260" s="184"/>
      <c r="R260" s="184"/>
      <c r="S260" s="183"/>
      <c r="T260" s="183"/>
    </row>
    <row r="26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4"/>
      <c r="O261" s="184"/>
      <c r="P261" s="184"/>
      <c r="Q261" s="184"/>
      <c r="R261" s="184"/>
      <c r="S261" s="183"/>
      <c r="T261" s="183"/>
    </row>
    <row r="262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4"/>
      <c r="O262" s="184"/>
      <c r="P262" s="184"/>
      <c r="Q262" s="184"/>
      <c r="R262" s="184"/>
      <c r="S262" s="183"/>
      <c r="T262" s="183"/>
    </row>
    <row r="263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4"/>
      <c r="O263" s="184"/>
      <c r="P263" s="184"/>
      <c r="Q263" s="184"/>
      <c r="R263" s="184"/>
      <c r="S263" s="183"/>
      <c r="T263" s="183"/>
    </row>
    <row r="264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4"/>
      <c r="O264" s="184"/>
      <c r="P264" s="184"/>
      <c r="Q264" s="184"/>
      <c r="R264" s="184"/>
      <c r="S264" s="183"/>
      <c r="T264" s="183"/>
    </row>
    <row r="265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4"/>
      <c r="O265" s="184"/>
      <c r="P265" s="184"/>
      <c r="Q265" s="184"/>
      <c r="R265" s="184"/>
      <c r="S265" s="183"/>
      <c r="T265" s="183"/>
    </row>
    <row r="266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4"/>
      <c r="O266" s="184"/>
      <c r="P266" s="184"/>
      <c r="Q266" s="184"/>
      <c r="R266" s="184"/>
      <c r="S266" s="183"/>
      <c r="T266" s="183"/>
    </row>
    <row r="267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4"/>
      <c r="O267" s="184"/>
      <c r="P267" s="184"/>
      <c r="Q267" s="184"/>
      <c r="R267" s="184"/>
      <c r="S267" s="183"/>
      <c r="T267" s="183"/>
    </row>
    <row r="268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4"/>
      <c r="O268" s="184"/>
      <c r="P268" s="184"/>
      <c r="Q268" s="184"/>
      <c r="R268" s="184"/>
      <c r="S268" s="183"/>
      <c r="T268" s="183"/>
    </row>
    <row r="269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4"/>
      <c r="O269" s="184"/>
      <c r="P269" s="184"/>
      <c r="Q269" s="184"/>
      <c r="R269" s="184"/>
      <c r="S269" s="183"/>
      <c r="T269" s="183"/>
    </row>
    <row r="270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4"/>
      <c r="O270" s="184"/>
      <c r="P270" s="184"/>
      <c r="Q270" s="184"/>
      <c r="R270" s="184"/>
      <c r="S270" s="183"/>
      <c r="T270" s="183"/>
    </row>
    <row r="27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4"/>
      <c r="O271" s="184"/>
      <c r="P271" s="184"/>
      <c r="Q271" s="184"/>
      <c r="R271" s="184"/>
      <c r="S271" s="183"/>
      <c r="T271" s="183"/>
    </row>
    <row r="272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4"/>
      <c r="O272" s="184"/>
      <c r="P272" s="184"/>
      <c r="Q272" s="184"/>
      <c r="R272" s="184"/>
      <c r="S272" s="183"/>
      <c r="T272" s="183"/>
    </row>
    <row r="273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4"/>
      <c r="O273" s="184"/>
      <c r="P273" s="184"/>
      <c r="Q273" s="184"/>
      <c r="R273" s="184"/>
      <c r="S273" s="183"/>
      <c r="T273" s="183"/>
    </row>
    <row r="274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4"/>
      <c r="O274" s="184"/>
      <c r="P274" s="184"/>
      <c r="Q274" s="184"/>
      <c r="R274" s="184"/>
      <c r="S274" s="183"/>
      <c r="T274" s="183"/>
    </row>
    <row r="275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4"/>
      <c r="O275" s="184"/>
      <c r="P275" s="184"/>
      <c r="Q275" s="184"/>
      <c r="R275" s="184"/>
      <c r="S275" s="183"/>
      <c r="T275" s="183"/>
    </row>
    <row r="276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4"/>
      <c r="O276" s="184"/>
      <c r="P276" s="184"/>
      <c r="Q276" s="184"/>
      <c r="R276" s="184"/>
      <c r="S276" s="183"/>
      <c r="T276" s="183"/>
    </row>
    <row r="277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4"/>
      <c r="O277" s="184"/>
      <c r="P277" s="184"/>
      <c r="Q277" s="184"/>
      <c r="R277" s="184"/>
      <c r="S277" s="183"/>
      <c r="T277" s="183"/>
    </row>
    <row r="278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4"/>
      <c r="O278" s="184"/>
      <c r="P278" s="184"/>
      <c r="Q278" s="184"/>
      <c r="R278" s="184"/>
      <c r="S278" s="183"/>
      <c r="T278" s="183"/>
    </row>
    <row r="279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4"/>
      <c r="O279" s="184"/>
      <c r="P279" s="184"/>
      <c r="Q279" s="184"/>
      <c r="R279" s="184"/>
      <c r="S279" s="183"/>
      <c r="T279" s="183"/>
    </row>
    <row r="280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4"/>
      <c r="O280" s="184"/>
      <c r="P280" s="184"/>
      <c r="Q280" s="184"/>
      <c r="R280" s="184"/>
      <c r="S280" s="183"/>
      <c r="T280" s="183"/>
    </row>
    <row r="28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4"/>
      <c r="O281" s="184"/>
      <c r="P281" s="184"/>
      <c r="Q281" s="184"/>
      <c r="R281" s="184"/>
      <c r="S281" s="183"/>
      <c r="T281" s="183"/>
    </row>
    <row r="282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4"/>
      <c r="O282" s="184"/>
      <c r="P282" s="184"/>
      <c r="Q282" s="184"/>
      <c r="R282" s="184"/>
      <c r="S282" s="183"/>
      <c r="T282" s="183"/>
    </row>
    <row r="283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4"/>
      <c r="O283" s="184"/>
      <c r="P283" s="184"/>
      <c r="Q283" s="184"/>
      <c r="R283" s="184"/>
      <c r="S283" s="183"/>
      <c r="T283" s="183"/>
    </row>
    <row r="284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4"/>
      <c r="O284" s="184"/>
      <c r="P284" s="184"/>
      <c r="Q284" s="184"/>
      <c r="R284" s="184"/>
      <c r="S284" s="183"/>
      <c r="T284" s="183"/>
    </row>
    <row r="285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4"/>
      <c r="O285" s="184"/>
      <c r="P285" s="184"/>
      <c r="Q285" s="184"/>
      <c r="R285" s="184"/>
      <c r="S285" s="183"/>
      <c r="T285" s="183"/>
    </row>
    <row r="286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4"/>
      <c r="O286" s="184"/>
      <c r="P286" s="184"/>
      <c r="Q286" s="184"/>
      <c r="R286" s="184"/>
      <c r="S286" s="183"/>
      <c r="T286" s="183"/>
    </row>
    <row r="287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4"/>
      <c r="O287" s="184"/>
      <c r="P287" s="184"/>
      <c r="Q287" s="184"/>
      <c r="R287" s="184"/>
      <c r="S287" s="183"/>
      <c r="T287" s="183"/>
    </row>
    <row r="288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4"/>
      <c r="O288" s="184"/>
      <c r="P288" s="184"/>
      <c r="Q288" s="184"/>
      <c r="R288" s="184"/>
      <c r="S288" s="183"/>
      <c r="T288" s="183"/>
    </row>
    <row r="289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4"/>
      <c r="O289" s="184"/>
      <c r="P289" s="184"/>
      <c r="Q289" s="184"/>
      <c r="R289" s="184"/>
      <c r="S289" s="183"/>
      <c r="T289" s="183"/>
    </row>
    <row r="290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4"/>
      <c r="O290" s="184"/>
      <c r="P290" s="184"/>
      <c r="Q290" s="184"/>
      <c r="R290" s="184"/>
      <c r="S290" s="183"/>
      <c r="T290" s="183"/>
    </row>
    <row r="29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4"/>
      <c r="O291" s="184"/>
      <c r="P291" s="184"/>
      <c r="Q291" s="184"/>
      <c r="R291" s="184"/>
      <c r="S291" s="183"/>
      <c r="T291" s="183"/>
    </row>
    <row r="292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4"/>
      <c r="O292" s="184"/>
      <c r="P292" s="184"/>
      <c r="Q292" s="184"/>
      <c r="R292" s="184"/>
      <c r="S292" s="183"/>
      <c r="T292" s="183"/>
    </row>
    <row r="293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4"/>
      <c r="O293" s="184"/>
      <c r="P293" s="184"/>
      <c r="Q293" s="184"/>
      <c r="R293" s="184"/>
      <c r="S293" s="183"/>
      <c r="T293" s="183"/>
    </row>
    <row r="294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4"/>
      <c r="O294" s="184"/>
      <c r="P294" s="184"/>
      <c r="Q294" s="184"/>
      <c r="R294" s="184"/>
      <c r="S294" s="183"/>
      <c r="T294" s="183"/>
    </row>
    <row r="295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4"/>
      <c r="O295" s="184"/>
      <c r="P295" s="184"/>
      <c r="Q295" s="184"/>
      <c r="R295" s="184"/>
      <c r="S295" s="183"/>
      <c r="T295" s="183"/>
    </row>
    <row r="296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4"/>
      <c r="O296" s="184"/>
      <c r="P296" s="184"/>
      <c r="Q296" s="184"/>
      <c r="R296" s="184"/>
      <c r="S296" s="183"/>
      <c r="T296" s="183"/>
    </row>
    <row r="297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4"/>
      <c r="O297" s="184"/>
      <c r="P297" s="184"/>
      <c r="Q297" s="184"/>
      <c r="R297" s="184"/>
      <c r="S297" s="183"/>
      <c r="T297" s="183"/>
    </row>
    <row r="298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4"/>
      <c r="O298" s="184"/>
      <c r="P298" s="184"/>
      <c r="Q298" s="184"/>
      <c r="R298" s="184"/>
      <c r="S298" s="183"/>
      <c r="T298" s="183"/>
    </row>
    <row r="299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4"/>
      <c r="O299" s="184"/>
      <c r="P299" s="184"/>
      <c r="Q299" s="184"/>
      <c r="R299" s="184"/>
      <c r="S299" s="183"/>
      <c r="T299" s="183"/>
    </row>
    <row r="300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4"/>
      <c r="O300" s="184"/>
      <c r="P300" s="184"/>
      <c r="Q300" s="184"/>
      <c r="R300" s="184"/>
      <c r="S300" s="183"/>
      <c r="T300" s="183"/>
    </row>
    <row r="30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4"/>
      <c r="O301" s="184"/>
      <c r="P301" s="184"/>
      <c r="Q301" s="184"/>
      <c r="R301" s="184"/>
      <c r="S301" s="183"/>
      <c r="T301" s="183"/>
    </row>
    <row r="302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4"/>
      <c r="O302" s="184"/>
      <c r="P302" s="184"/>
      <c r="Q302" s="184"/>
      <c r="R302" s="184"/>
      <c r="S302" s="183"/>
      <c r="T302" s="183"/>
    </row>
    <row r="303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4"/>
      <c r="O303" s="184"/>
      <c r="P303" s="184"/>
      <c r="Q303" s="184"/>
      <c r="R303" s="184"/>
      <c r="S303" s="183"/>
      <c r="T303" s="183"/>
    </row>
    <row r="304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4"/>
      <c r="O304" s="184"/>
      <c r="P304" s="184"/>
      <c r="Q304" s="184"/>
      <c r="R304" s="184"/>
      <c r="S304" s="183"/>
      <c r="T304" s="183"/>
    </row>
    <row r="305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4"/>
      <c r="O305" s="184"/>
      <c r="P305" s="184"/>
      <c r="Q305" s="184"/>
      <c r="R305" s="184"/>
      <c r="S305" s="183"/>
      <c r="T305" s="183"/>
    </row>
    <row r="306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4"/>
      <c r="O306" s="184"/>
      <c r="P306" s="184"/>
      <c r="Q306" s="184"/>
      <c r="R306" s="184"/>
      <c r="S306" s="183"/>
      <c r="T306" s="183"/>
    </row>
    <row r="307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4"/>
      <c r="O307" s="184"/>
      <c r="P307" s="184"/>
      <c r="Q307" s="184"/>
      <c r="R307" s="184"/>
      <c r="S307" s="183"/>
      <c r="T307" s="183"/>
    </row>
    <row r="308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4"/>
      <c r="O308" s="184"/>
      <c r="P308" s="184"/>
      <c r="Q308" s="184"/>
      <c r="R308" s="184"/>
      <c r="S308" s="183"/>
      <c r="T308" s="183"/>
    </row>
    <row r="309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4"/>
      <c r="O309" s="184"/>
      <c r="P309" s="184"/>
      <c r="Q309" s="184"/>
      <c r="R309" s="184"/>
      <c r="S309" s="183"/>
      <c r="T309" s="183"/>
    </row>
    <row r="310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4"/>
      <c r="O310" s="184"/>
      <c r="P310" s="184"/>
      <c r="Q310" s="184"/>
      <c r="R310" s="184"/>
      <c r="S310" s="183"/>
      <c r="T310" s="183"/>
    </row>
    <row r="31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4"/>
      <c r="O311" s="184"/>
      <c r="P311" s="184"/>
      <c r="Q311" s="184"/>
      <c r="R311" s="184"/>
      <c r="S311" s="183"/>
      <c r="T311" s="183"/>
    </row>
    <row r="312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4"/>
      <c r="O312" s="184"/>
      <c r="P312" s="184"/>
      <c r="Q312" s="184"/>
      <c r="R312" s="184"/>
      <c r="S312" s="183"/>
      <c r="T312" s="183"/>
    </row>
    <row r="313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4"/>
      <c r="O313" s="184"/>
      <c r="P313" s="184"/>
      <c r="Q313" s="184"/>
      <c r="R313" s="184"/>
      <c r="S313" s="183"/>
      <c r="T313" s="183"/>
    </row>
    <row r="314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4"/>
      <c r="O314" s="184"/>
      <c r="P314" s="184"/>
      <c r="Q314" s="184"/>
      <c r="R314" s="184"/>
      <c r="S314" s="183"/>
      <c r="T314" s="183"/>
    </row>
    <row r="315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4"/>
      <c r="O315" s="184"/>
      <c r="P315" s="184"/>
      <c r="Q315" s="184"/>
      <c r="R315" s="184"/>
      <c r="S315" s="183"/>
      <c r="T315" s="183"/>
    </row>
    <row r="316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4"/>
      <c r="O316" s="184"/>
      <c r="P316" s="184"/>
      <c r="Q316" s="184"/>
      <c r="R316" s="184"/>
      <c r="S316" s="183"/>
      <c r="T316" s="183"/>
    </row>
    <row r="317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4"/>
      <c r="O317" s="184"/>
      <c r="P317" s="184"/>
      <c r="Q317" s="184"/>
      <c r="R317" s="184"/>
      <c r="S317" s="183"/>
      <c r="T317" s="183"/>
    </row>
    <row r="318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4"/>
      <c r="O318" s="184"/>
      <c r="P318" s="184"/>
      <c r="Q318" s="184"/>
      <c r="R318" s="184"/>
      <c r="S318" s="183"/>
      <c r="T318" s="183"/>
    </row>
    <row r="319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4"/>
      <c r="O319" s="184"/>
      <c r="P319" s="184"/>
      <c r="Q319" s="184"/>
      <c r="R319" s="184"/>
      <c r="S319" s="183"/>
      <c r="T319" s="183"/>
    </row>
    <row r="320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4"/>
      <c r="O320" s="184"/>
      <c r="P320" s="184"/>
      <c r="Q320" s="184"/>
      <c r="R320" s="184"/>
      <c r="S320" s="183"/>
      <c r="T320" s="183"/>
    </row>
    <row r="32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4"/>
      <c r="O321" s="184"/>
      <c r="P321" s="184"/>
      <c r="Q321" s="184"/>
      <c r="R321" s="184"/>
      <c r="S321" s="183"/>
      <c r="T321" s="183"/>
    </row>
    <row r="322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4"/>
      <c r="O322" s="184"/>
      <c r="P322" s="184"/>
      <c r="Q322" s="184"/>
      <c r="R322" s="184"/>
      <c r="S322" s="183"/>
      <c r="T322" s="183"/>
    </row>
    <row r="323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4"/>
      <c r="O323" s="184"/>
      <c r="P323" s="184"/>
      <c r="Q323" s="184"/>
      <c r="R323" s="184"/>
      <c r="S323" s="183"/>
      <c r="T323" s="183"/>
    </row>
    <row r="324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4"/>
      <c r="O324" s="184"/>
      <c r="P324" s="184"/>
      <c r="Q324" s="184"/>
      <c r="R324" s="184"/>
      <c r="S324" s="183"/>
      <c r="T324" s="183"/>
    </row>
    <row r="325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4"/>
      <c r="O325" s="184"/>
      <c r="P325" s="184"/>
      <c r="Q325" s="184"/>
      <c r="R325" s="184"/>
      <c r="S325" s="183"/>
      <c r="T325" s="183"/>
    </row>
    <row r="326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4"/>
      <c r="O326" s="184"/>
      <c r="P326" s="184"/>
      <c r="Q326" s="184"/>
      <c r="R326" s="184"/>
      <c r="S326" s="183"/>
      <c r="T326" s="183"/>
    </row>
    <row r="327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4"/>
      <c r="O327" s="184"/>
      <c r="P327" s="184"/>
      <c r="Q327" s="184"/>
      <c r="R327" s="184"/>
      <c r="S327" s="183"/>
      <c r="T327" s="183"/>
    </row>
    <row r="328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4"/>
      <c r="O328" s="184"/>
      <c r="P328" s="184"/>
      <c r="Q328" s="184"/>
      <c r="R328" s="184"/>
      <c r="S328" s="183"/>
      <c r="T328" s="183"/>
    </row>
    <row r="329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4"/>
      <c r="O329" s="184"/>
      <c r="P329" s="184"/>
      <c r="Q329" s="184"/>
      <c r="R329" s="184"/>
      <c r="S329" s="183"/>
      <c r="T329" s="183"/>
    </row>
    <row r="330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4"/>
      <c r="O330" s="184"/>
      <c r="P330" s="184"/>
      <c r="Q330" s="184"/>
      <c r="R330" s="184"/>
      <c r="S330" s="183"/>
      <c r="T330" s="183"/>
    </row>
    <row r="33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4"/>
      <c r="O331" s="184"/>
      <c r="P331" s="184"/>
      <c r="Q331" s="184"/>
      <c r="R331" s="184"/>
      <c r="S331" s="183"/>
      <c r="T331" s="183"/>
    </row>
    <row r="332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4"/>
      <c r="O332" s="184"/>
      <c r="P332" s="184"/>
      <c r="Q332" s="184"/>
      <c r="R332" s="184"/>
      <c r="S332" s="183"/>
      <c r="T332" s="183"/>
    </row>
    <row r="333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4"/>
      <c r="O333" s="184"/>
      <c r="P333" s="184"/>
      <c r="Q333" s="184"/>
      <c r="R333" s="184"/>
      <c r="S333" s="183"/>
      <c r="T333" s="183"/>
    </row>
    <row r="334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4"/>
      <c r="O334" s="184"/>
      <c r="P334" s="184"/>
      <c r="Q334" s="184"/>
      <c r="R334" s="184"/>
      <c r="S334" s="183"/>
      <c r="T334" s="183"/>
    </row>
    <row r="335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4"/>
      <c r="O335" s="184"/>
      <c r="P335" s="184"/>
      <c r="Q335" s="184"/>
      <c r="R335" s="184"/>
      <c r="S335" s="183"/>
      <c r="T335" s="183"/>
    </row>
    <row r="336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4"/>
      <c r="O336" s="184"/>
      <c r="P336" s="184"/>
      <c r="Q336" s="184"/>
      <c r="R336" s="184"/>
      <c r="S336" s="183"/>
      <c r="T336" s="183"/>
    </row>
    <row r="337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4"/>
      <c r="O337" s="184"/>
      <c r="P337" s="184"/>
      <c r="Q337" s="184"/>
      <c r="R337" s="184"/>
      <c r="S337" s="183"/>
      <c r="T337" s="183"/>
    </row>
    <row r="338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4"/>
      <c r="O338" s="184"/>
      <c r="P338" s="184"/>
      <c r="Q338" s="184"/>
      <c r="R338" s="184"/>
      <c r="S338" s="183"/>
      <c r="T338" s="183"/>
    </row>
    <row r="339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4"/>
      <c r="O339" s="184"/>
      <c r="P339" s="184"/>
      <c r="Q339" s="184"/>
      <c r="R339" s="184"/>
      <c r="S339" s="183"/>
      <c r="T339" s="183"/>
    </row>
    <row r="340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4"/>
      <c r="O340" s="184"/>
      <c r="P340" s="184"/>
      <c r="Q340" s="184"/>
      <c r="R340" s="184"/>
      <c r="S340" s="183"/>
      <c r="T340" s="183"/>
    </row>
    <row r="34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4"/>
      <c r="O341" s="184"/>
      <c r="P341" s="184"/>
      <c r="Q341" s="184"/>
      <c r="R341" s="184"/>
      <c r="S341" s="183"/>
      <c r="T341" s="183"/>
    </row>
    <row r="342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4"/>
      <c r="O342" s="184"/>
      <c r="P342" s="184"/>
      <c r="Q342" s="184"/>
      <c r="R342" s="184"/>
      <c r="S342" s="183"/>
      <c r="T342" s="183"/>
    </row>
    <row r="343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4"/>
      <c r="O343" s="184"/>
      <c r="P343" s="184"/>
      <c r="Q343" s="184"/>
      <c r="R343" s="184"/>
      <c r="S343" s="183"/>
      <c r="T343" s="183"/>
    </row>
    <row r="344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4"/>
      <c r="O344" s="184"/>
      <c r="P344" s="184"/>
      <c r="Q344" s="184"/>
      <c r="R344" s="184"/>
      <c r="S344" s="183"/>
      <c r="T344" s="183"/>
    </row>
    <row r="345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4"/>
      <c r="O345" s="184"/>
      <c r="P345" s="184"/>
      <c r="Q345" s="184"/>
      <c r="R345" s="184"/>
      <c r="S345" s="183"/>
      <c r="T345" s="183"/>
    </row>
    <row r="346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4"/>
      <c r="O346" s="184"/>
      <c r="P346" s="184"/>
      <c r="Q346" s="184"/>
      <c r="R346" s="184"/>
      <c r="S346" s="183"/>
      <c r="T346" s="183"/>
    </row>
    <row r="347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4"/>
      <c r="O347" s="184"/>
      <c r="P347" s="184"/>
      <c r="Q347" s="184"/>
      <c r="R347" s="184"/>
      <c r="S347" s="183"/>
      <c r="T347" s="183"/>
    </row>
    <row r="348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4"/>
      <c r="O348" s="184"/>
      <c r="P348" s="184"/>
      <c r="Q348" s="184"/>
      <c r="R348" s="184"/>
      <c r="S348" s="183"/>
      <c r="T348" s="183"/>
    </row>
    <row r="349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4"/>
      <c r="O349" s="184"/>
      <c r="P349" s="184"/>
      <c r="Q349" s="184"/>
      <c r="R349" s="184"/>
      <c r="S349" s="183"/>
      <c r="T349" s="183"/>
    </row>
    <row r="350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4"/>
      <c r="O350" s="184"/>
      <c r="P350" s="184"/>
      <c r="Q350" s="184"/>
      <c r="R350" s="184"/>
      <c r="S350" s="183"/>
      <c r="T350" s="183"/>
    </row>
    <row r="35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4"/>
      <c r="O351" s="184"/>
      <c r="P351" s="184"/>
      <c r="Q351" s="184"/>
      <c r="R351" s="184"/>
      <c r="S351" s="183"/>
      <c r="T351" s="183"/>
    </row>
    <row r="352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4"/>
      <c r="O352" s="184"/>
      <c r="P352" s="184"/>
      <c r="Q352" s="184"/>
      <c r="R352" s="184"/>
      <c r="S352" s="183"/>
      <c r="T352" s="183"/>
    </row>
    <row r="353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4"/>
      <c r="O353" s="184"/>
      <c r="P353" s="184"/>
      <c r="Q353" s="184"/>
      <c r="R353" s="184"/>
      <c r="S353" s="183"/>
      <c r="T353" s="183"/>
    </row>
    <row r="354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4"/>
      <c r="O354" s="184"/>
      <c r="P354" s="184"/>
      <c r="Q354" s="184"/>
      <c r="R354" s="184"/>
      <c r="S354" s="183"/>
      <c r="T354" s="183"/>
    </row>
    <row r="355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4"/>
      <c r="O355" s="184"/>
      <c r="P355" s="184"/>
      <c r="Q355" s="184"/>
      <c r="R355" s="184"/>
      <c r="S355" s="183"/>
      <c r="T355" s="183"/>
    </row>
    <row r="356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4"/>
      <c r="O356" s="184"/>
      <c r="P356" s="184"/>
      <c r="Q356" s="184"/>
      <c r="R356" s="184"/>
      <c r="S356" s="183"/>
      <c r="T356" s="183"/>
    </row>
    <row r="357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4"/>
      <c r="O357" s="184"/>
      <c r="P357" s="184"/>
      <c r="Q357" s="184"/>
      <c r="R357" s="184"/>
      <c r="S357" s="183"/>
      <c r="T357" s="183"/>
    </row>
    <row r="358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4"/>
      <c r="O358" s="184"/>
      <c r="P358" s="184"/>
      <c r="Q358" s="184"/>
      <c r="R358" s="184"/>
      <c r="S358" s="183"/>
      <c r="T358" s="183"/>
    </row>
    <row r="359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4"/>
      <c r="O359" s="184"/>
      <c r="P359" s="184"/>
      <c r="Q359" s="184"/>
      <c r="R359" s="184"/>
      <c r="S359" s="183"/>
      <c r="T359" s="183"/>
    </row>
    <row r="360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4"/>
      <c r="O360" s="184"/>
      <c r="P360" s="184"/>
      <c r="Q360" s="184"/>
      <c r="R360" s="184"/>
      <c r="S360" s="183"/>
      <c r="T360" s="183"/>
    </row>
    <row r="36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4"/>
      <c r="O361" s="184"/>
      <c r="P361" s="184"/>
      <c r="Q361" s="184"/>
      <c r="R361" s="184"/>
      <c r="S361" s="183"/>
      <c r="T361" s="183"/>
    </row>
    <row r="362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4"/>
      <c r="O362" s="184"/>
      <c r="P362" s="184"/>
      <c r="Q362" s="184"/>
      <c r="R362" s="184"/>
      <c r="S362" s="183"/>
      <c r="T362" s="183"/>
    </row>
    <row r="363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4"/>
      <c r="O363" s="184"/>
      <c r="P363" s="184"/>
      <c r="Q363" s="184"/>
      <c r="R363" s="184"/>
      <c r="S363" s="183"/>
      <c r="T363" s="183"/>
    </row>
    <row r="364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4"/>
      <c r="O364" s="184"/>
      <c r="P364" s="184"/>
      <c r="Q364" s="184"/>
      <c r="R364" s="184"/>
      <c r="S364" s="183"/>
      <c r="T364" s="183"/>
    </row>
    <row r="365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4"/>
      <c r="O365" s="184"/>
      <c r="P365" s="184"/>
      <c r="Q365" s="184"/>
      <c r="R365" s="184"/>
      <c r="S365" s="183"/>
      <c r="T365" s="183"/>
    </row>
    <row r="366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4"/>
      <c r="O366" s="184"/>
      <c r="P366" s="184"/>
      <c r="Q366" s="184"/>
      <c r="R366" s="184"/>
      <c r="S366" s="183"/>
      <c r="T366" s="183"/>
    </row>
    <row r="367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4"/>
      <c r="O367" s="184"/>
      <c r="P367" s="184"/>
      <c r="Q367" s="184"/>
      <c r="R367" s="184"/>
      <c r="S367" s="183"/>
      <c r="T367" s="183"/>
    </row>
    <row r="368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4"/>
      <c r="O368" s="184"/>
      <c r="P368" s="184"/>
      <c r="Q368" s="184"/>
      <c r="R368" s="184"/>
      <c r="S368" s="183"/>
      <c r="T368" s="183"/>
    </row>
    <row r="369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4"/>
      <c r="O369" s="184"/>
      <c r="P369" s="184"/>
      <c r="Q369" s="184"/>
      <c r="R369" s="184"/>
      <c r="S369" s="183"/>
      <c r="T369" s="183"/>
    </row>
    <row r="370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4"/>
      <c r="O370" s="184"/>
      <c r="P370" s="184"/>
      <c r="Q370" s="184"/>
      <c r="R370" s="184"/>
      <c r="S370" s="183"/>
      <c r="T370" s="183"/>
    </row>
    <row r="37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4"/>
      <c r="O371" s="184"/>
      <c r="P371" s="184"/>
      <c r="Q371" s="184"/>
      <c r="R371" s="184"/>
      <c r="S371" s="183"/>
      <c r="T371" s="183"/>
    </row>
    <row r="372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4"/>
      <c r="O372" s="184"/>
      <c r="P372" s="184"/>
      <c r="Q372" s="184"/>
      <c r="R372" s="184"/>
      <c r="S372" s="183"/>
      <c r="T372" s="183"/>
    </row>
    <row r="373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4"/>
      <c r="O373" s="184"/>
      <c r="P373" s="184"/>
      <c r="Q373" s="184"/>
      <c r="R373" s="184"/>
      <c r="S373" s="183"/>
      <c r="T373" s="183"/>
    </row>
    <row r="374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4"/>
      <c r="O374" s="184"/>
      <c r="P374" s="184"/>
      <c r="Q374" s="184"/>
      <c r="R374" s="184"/>
      <c r="S374" s="183"/>
      <c r="T374" s="183"/>
    </row>
    <row r="375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4"/>
      <c r="O375" s="184"/>
      <c r="P375" s="184"/>
      <c r="Q375" s="184"/>
      <c r="R375" s="184"/>
      <c r="S375" s="183"/>
      <c r="T375" s="183"/>
    </row>
    <row r="376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4"/>
      <c r="O376" s="184"/>
      <c r="P376" s="184"/>
      <c r="Q376" s="184"/>
      <c r="R376" s="184"/>
      <c r="S376" s="183"/>
      <c r="T376" s="183"/>
    </row>
    <row r="377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4"/>
      <c r="O377" s="184"/>
      <c r="P377" s="184"/>
      <c r="Q377" s="184"/>
      <c r="R377" s="184"/>
      <c r="S377" s="183"/>
      <c r="T377" s="183"/>
    </row>
    <row r="378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4"/>
      <c r="O378" s="184"/>
      <c r="P378" s="184"/>
      <c r="Q378" s="184"/>
      <c r="R378" s="184"/>
      <c r="S378" s="183"/>
      <c r="T378" s="183"/>
    </row>
    <row r="379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4"/>
      <c r="O379" s="184"/>
      <c r="P379" s="184"/>
      <c r="Q379" s="184"/>
      <c r="R379" s="184"/>
      <c r="S379" s="183"/>
      <c r="T379" s="183"/>
    </row>
    <row r="380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4"/>
      <c r="O380" s="184"/>
      <c r="P380" s="184"/>
      <c r="Q380" s="184"/>
      <c r="R380" s="184"/>
      <c r="S380" s="183"/>
      <c r="T380" s="183"/>
    </row>
    <row r="38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4"/>
      <c r="O381" s="184"/>
      <c r="P381" s="184"/>
      <c r="Q381" s="184"/>
      <c r="R381" s="184"/>
      <c r="S381" s="183"/>
      <c r="T381" s="183"/>
    </row>
    <row r="382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4"/>
      <c r="O382" s="184"/>
      <c r="P382" s="184"/>
      <c r="Q382" s="184"/>
      <c r="R382" s="184"/>
      <c r="S382" s="183"/>
      <c r="T382" s="183"/>
    </row>
    <row r="383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4"/>
      <c r="O383" s="184"/>
      <c r="P383" s="184"/>
      <c r="Q383" s="184"/>
      <c r="R383" s="184"/>
      <c r="S383" s="183"/>
      <c r="T383" s="183"/>
    </row>
    <row r="384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4"/>
      <c r="O384" s="184"/>
      <c r="P384" s="184"/>
      <c r="Q384" s="184"/>
      <c r="R384" s="184"/>
      <c r="S384" s="183"/>
      <c r="T384" s="183"/>
    </row>
    <row r="385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4"/>
      <c r="O385" s="184"/>
      <c r="P385" s="184"/>
      <c r="Q385" s="184"/>
      <c r="R385" s="184"/>
      <c r="S385" s="183"/>
      <c r="T385" s="183"/>
    </row>
    <row r="386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4"/>
      <c r="O386" s="184"/>
      <c r="P386" s="184"/>
      <c r="Q386" s="184"/>
      <c r="R386" s="184"/>
      <c r="S386" s="183"/>
      <c r="T386" s="183"/>
    </row>
    <row r="387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4"/>
      <c r="O387" s="184"/>
      <c r="P387" s="184"/>
      <c r="Q387" s="184"/>
      <c r="R387" s="184"/>
      <c r="S387" s="183"/>
      <c r="T387" s="183"/>
    </row>
    <row r="388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4"/>
      <c r="O388" s="184"/>
      <c r="P388" s="184"/>
      <c r="Q388" s="184"/>
      <c r="R388" s="184"/>
      <c r="S388" s="183"/>
      <c r="T388" s="183"/>
    </row>
    <row r="389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4"/>
      <c r="O389" s="184"/>
      <c r="P389" s="184"/>
      <c r="Q389" s="184"/>
      <c r="R389" s="184"/>
      <c r="S389" s="183"/>
      <c r="T389" s="183"/>
    </row>
    <row r="390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4"/>
      <c r="O390" s="184"/>
      <c r="P390" s="184"/>
      <c r="Q390" s="184"/>
      <c r="R390" s="184"/>
      <c r="S390" s="183"/>
      <c r="T390" s="183"/>
    </row>
    <row r="39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4"/>
      <c r="O391" s="184"/>
      <c r="P391" s="184"/>
      <c r="Q391" s="184"/>
      <c r="R391" s="184"/>
      <c r="S391" s="183"/>
      <c r="T391" s="183"/>
    </row>
    <row r="392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4"/>
      <c r="O392" s="184"/>
      <c r="P392" s="184"/>
      <c r="Q392" s="184"/>
      <c r="R392" s="184"/>
      <c r="S392" s="183"/>
      <c r="T392" s="183"/>
    </row>
    <row r="393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4"/>
      <c r="O393" s="184"/>
      <c r="P393" s="184"/>
      <c r="Q393" s="184"/>
      <c r="R393" s="184"/>
      <c r="S393" s="183"/>
      <c r="T393" s="183"/>
    </row>
    <row r="394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4"/>
      <c r="O394" s="184"/>
      <c r="P394" s="184"/>
      <c r="Q394" s="184"/>
      <c r="R394" s="184"/>
      <c r="S394" s="183"/>
      <c r="T394" s="183"/>
    </row>
    <row r="395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4"/>
      <c r="O395" s="184"/>
      <c r="P395" s="184"/>
      <c r="Q395" s="184"/>
      <c r="R395" s="184"/>
      <c r="S395" s="183"/>
      <c r="T395" s="183"/>
    </row>
    <row r="396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4"/>
      <c r="O396" s="184"/>
      <c r="P396" s="184"/>
      <c r="Q396" s="184"/>
      <c r="R396" s="184"/>
      <c r="S396" s="183"/>
      <c r="T396" s="183"/>
    </row>
    <row r="397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4"/>
      <c r="O397" s="184"/>
      <c r="P397" s="184"/>
      <c r="Q397" s="184"/>
      <c r="R397" s="184"/>
      <c r="S397" s="183"/>
      <c r="T397" s="183"/>
    </row>
    <row r="398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4"/>
      <c r="O398" s="184"/>
      <c r="P398" s="184"/>
      <c r="Q398" s="184"/>
      <c r="R398" s="184"/>
      <c r="S398" s="183"/>
      <c r="T398" s="183"/>
    </row>
    <row r="399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4"/>
      <c r="O399" s="184"/>
      <c r="P399" s="184"/>
      <c r="Q399" s="184"/>
      <c r="R399" s="184"/>
      <c r="S399" s="183"/>
      <c r="T399" s="183"/>
    </row>
    <row r="400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4"/>
      <c r="O400" s="184"/>
      <c r="P400" s="184"/>
      <c r="Q400" s="184"/>
      <c r="R400" s="184"/>
      <c r="S400" s="183"/>
      <c r="T400" s="183"/>
    </row>
    <row r="40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4"/>
      <c r="O401" s="184"/>
      <c r="P401" s="184"/>
      <c r="Q401" s="184"/>
      <c r="R401" s="184"/>
      <c r="S401" s="183"/>
      <c r="T401" s="183"/>
    </row>
    <row r="402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4"/>
      <c r="O402" s="184"/>
      <c r="P402" s="184"/>
      <c r="Q402" s="184"/>
      <c r="R402" s="184"/>
      <c r="S402" s="183"/>
      <c r="T402" s="183"/>
    </row>
    <row r="403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4"/>
      <c r="O403" s="184"/>
      <c r="P403" s="184"/>
      <c r="Q403" s="184"/>
      <c r="R403" s="184"/>
      <c r="S403" s="183"/>
      <c r="T403" s="183"/>
    </row>
    <row r="404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4"/>
      <c r="O404" s="184"/>
      <c r="P404" s="184"/>
      <c r="Q404" s="184"/>
      <c r="R404" s="184"/>
      <c r="S404" s="183"/>
      <c r="T404" s="183"/>
    </row>
    <row r="405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4"/>
      <c r="O405" s="184"/>
      <c r="P405" s="184"/>
      <c r="Q405" s="184"/>
      <c r="R405" s="184"/>
      <c r="S405" s="183"/>
      <c r="T405" s="183"/>
    </row>
    <row r="406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4"/>
      <c r="O406" s="184"/>
      <c r="P406" s="184"/>
      <c r="Q406" s="184"/>
      <c r="R406" s="184"/>
      <c r="S406" s="183"/>
      <c r="T406" s="183"/>
    </row>
    <row r="407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4"/>
      <c r="O407" s="184"/>
      <c r="P407" s="184"/>
      <c r="Q407" s="184"/>
      <c r="R407" s="184"/>
      <c r="S407" s="183"/>
      <c r="T407" s="183"/>
    </row>
    <row r="408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4"/>
      <c r="O408" s="184"/>
      <c r="P408" s="184"/>
      <c r="Q408" s="184"/>
      <c r="R408" s="184"/>
      <c r="S408" s="183"/>
      <c r="T408" s="183"/>
    </row>
    <row r="409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4"/>
      <c r="O409" s="184"/>
      <c r="P409" s="184"/>
      <c r="Q409" s="184"/>
      <c r="R409" s="184"/>
      <c r="S409" s="183"/>
      <c r="T409" s="183"/>
    </row>
    <row r="410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4"/>
      <c r="O410" s="184"/>
      <c r="P410" s="184"/>
      <c r="Q410" s="184"/>
      <c r="R410" s="184"/>
      <c r="S410" s="183"/>
      <c r="T410" s="183"/>
    </row>
    <row r="41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4"/>
      <c r="O411" s="184"/>
      <c r="P411" s="184"/>
      <c r="Q411" s="184"/>
      <c r="R411" s="184"/>
      <c r="S411" s="183"/>
      <c r="T411" s="183"/>
    </row>
    <row r="412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4"/>
      <c r="O412" s="184"/>
      <c r="P412" s="184"/>
      <c r="Q412" s="184"/>
      <c r="R412" s="184"/>
      <c r="S412" s="183"/>
      <c r="T412" s="183"/>
    </row>
    <row r="413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4"/>
      <c r="O413" s="184"/>
      <c r="P413" s="184"/>
      <c r="Q413" s="184"/>
      <c r="R413" s="184"/>
      <c r="S413" s="183"/>
      <c r="T413" s="183"/>
    </row>
    <row r="414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4"/>
      <c r="O414" s="184"/>
      <c r="P414" s="184"/>
      <c r="Q414" s="184"/>
      <c r="R414" s="184"/>
      <c r="S414" s="183"/>
      <c r="T414" s="183"/>
    </row>
    <row r="415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4"/>
      <c r="O415" s="184"/>
      <c r="P415" s="184"/>
      <c r="Q415" s="184"/>
      <c r="R415" s="184"/>
      <c r="S415" s="183"/>
      <c r="T415" s="183"/>
    </row>
    <row r="416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4"/>
      <c r="O416" s="184"/>
      <c r="P416" s="184"/>
      <c r="Q416" s="184"/>
      <c r="R416" s="184"/>
      <c r="S416" s="183"/>
      <c r="T416" s="183"/>
    </row>
    <row r="417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4"/>
      <c r="O417" s="184"/>
      <c r="P417" s="184"/>
      <c r="Q417" s="184"/>
      <c r="R417" s="184"/>
      <c r="S417" s="183"/>
      <c r="T417" s="183"/>
    </row>
    <row r="418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4"/>
      <c r="O418" s="184"/>
      <c r="P418" s="184"/>
      <c r="Q418" s="184"/>
      <c r="R418" s="184"/>
      <c r="S418" s="183"/>
      <c r="T418" s="183"/>
    </row>
    <row r="419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4"/>
      <c r="O419" s="184"/>
      <c r="P419" s="184"/>
      <c r="Q419" s="184"/>
      <c r="R419" s="184"/>
      <c r="S419" s="183"/>
      <c r="T419" s="183"/>
    </row>
    <row r="420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4"/>
      <c r="O420" s="184"/>
      <c r="P420" s="184"/>
      <c r="Q420" s="184"/>
      <c r="R420" s="184"/>
      <c r="S420" s="183"/>
      <c r="T420" s="183"/>
    </row>
    <row r="42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4"/>
      <c r="O421" s="184"/>
      <c r="P421" s="184"/>
      <c r="Q421" s="184"/>
      <c r="R421" s="184"/>
      <c r="S421" s="183"/>
      <c r="T421" s="183"/>
    </row>
    <row r="422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4"/>
      <c r="O422" s="184"/>
      <c r="P422" s="184"/>
      <c r="Q422" s="184"/>
      <c r="R422" s="184"/>
      <c r="S422" s="183"/>
      <c r="T422" s="183"/>
    </row>
    <row r="423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4"/>
      <c r="O423" s="184"/>
      <c r="P423" s="184"/>
      <c r="Q423" s="184"/>
      <c r="R423" s="184"/>
      <c r="S423" s="183"/>
      <c r="T423" s="183"/>
    </row>
    <row r="424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4"/>
      <c r="O424" s="184"/>
      <c r="P424" s="184"/>
      <c r="Q424" s="184"/>
      <c r="R424" s="184"/>
      <c r="S424" s="183"/>
      <c r="T424" s="183"/>
    </row>
    <row r="425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4"/>
      <c r="O425" s="184"/>
      <c r="P425" s="184"/>
      <c r="Q425" s="184"/>
      <c r="R425" s="184"/>
      <c r="S425" s="183"/>
      <c r="T425" s="183"/>
    </row>
    <row r="426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4"/>
      <c r="O426" s="184"/>
      <c r="P426" s="184"/>
      <c r="Q426" s="184"/>
      <c r="R426" s="184"/>
      <c r="S426" s="183"/>
      <c r="T426" s="183"/>
    </row>
    <row r="427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4"/>
      <c r="O427" s="184"/>
      <c r="P427" s="184"/>
      <c r="Q427" s="184"/>
      <c r="R427" s="184"/>
      <c r="S427" s="183"/>
      <c r="T427" s="183"/>
    </row>
    <row r="428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4"/>
      <c r="O428" s="184"/>
      <c r="P428" s="184"/>
      <c r="Q428" s="184"/>
      <c r="R428" s="184"/>
      <c r="S428" s="183"/>
      <c r="T428" s="183"/>
    </row>
    <row r="429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4"/>
      <c r="O429" s="184"/>
      <c r="P429" s="184"/>
      <c r="Q429" s="184"/>
      <c r="R429" s="184"/>
      <c r="S429" s="183"/>
      <c r="T429" s="183"/>
    </row>
    <row r="430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4"/>
      <c r="O430" s="184"/>
      <c r="P430" s="184"/>
      <c r="Q430" s="184"/>
      <c r="R430" s="184"/>
      <c r="S430" s="183"/>
      <c r="T430" s="183"/>
    </row>
    <row r="43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4"/>
      <c r="O431" s="184"/>
      <c r="P431" s="184"/>
      <c r="Q431" s="184"/>
      <c r="R431" s="184"/>
      <c r="S431" s="183"/>
      <c r="T431" s="183"/>
    </row>
    <row r="432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4"/>
      <c r="O432" s="184"/>
      <c r="P432" s="184"/>
      <c r="Q432" s="184"/>
      <c r="R432" s="184"/>
      <c r="S432" s="183"/>
      <c r="T432" s="183"/>
    </row>
    <row r="433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4"/>
      <c r="O433" s="184"/>
      <c r="P433" s="184"/>
      <c r="Q433" s="184"/>
      <c r="R433" s="184"/>
      <c r="S433" s="183"/>
      <c r="T433" s="183"/>
    </row>
    <row r="434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4"/>
      <c r="O434" s="184"/>
      <c r="P434" s="184"/>
      <c r="Q434" s="184"/>
      <c r="R434" s="184"/>
      <c r="S434" s="183"/>
      <c r="T434" s="183"/>
    </row>
    <row r="435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4"/>
      <c r="O435" s="184"/>
      <c r="P435" s="184"/>
      <c r="Q435" s="184"/>
      <c r="R435" s="184"/>
      <c r="S435" s="183"/>
      <c r="T435" s="183"/>
    </row>
    <row r="436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4"/>
      <c r="O436" s="184"/>
      <c r="P436" s="184"/>
      <c r="Q436" s="184"/>
      <c r="R436" s="184"/>
      <c r="S436" s="183"/>
      <c r="T436" s="183"/>
    </row>
    <row r="437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4"/>
      <c r="O437" s="184"/>
      <c r="P437" s="184"/>
      <c r="Q437" s="184"/>
      <c r="R437" s="184"/>
      <c r="S437" s="183"/>
      <c r="T437" s="183"/>
    </row>
    <row r="438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4"/>
      <c r="O438" s="184"/>
      <c r="P438" s="184"/>
      <c r="Q438" s="184"/>
      <c r="R438" s="184"/>
      <c r="S438" s="183"/>
      <c r="T438" s="183"/>
    </row>
    <row r="439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4"/>
      <c r="O439" s="184"/>
      <c r="P439" s="184"/>
      <c r="Q439" s="184"/>
      <c r="R439" s="184"/>
      <c r="S439" s="183"/>
      <c r="T439" s="183"/>
    </row>
    <row r="440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4"/>
      <c r="O440" s="184"/>
      <c r="P440" s="184"/>
      <c r="Q440" s="184"/>
      <c r="R440" s="184"/>
      <c r="S440" s="183"/>
      <c r="T440" s="183"/>
    </row>
    <row r="44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4"/>
      <c r="O441" s="184"/>
      <c r="P441" s="184"/>
      <c r="Q441" s="184"/>
      <c r="R441" s="184"/>
      <c r="S441" s="183"/>
      <c r="T441" s="183"/>
    </row>
    <row r="442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4"/>
      <c r="O442" s="184"/>
      <c r="P442" s="184"/>
      <c r="Q442" s="184"/>
      <c r="R442" s="184"/>
      <c r="S442" s="183"/>
      <c r="T442" s="183"/>
    </row>
    <row r="443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4"/>
      <c r="O443" s="184"/>
      <c r="P443" s="184"/>
      <c r="Q443" s="184"/>
      <c r="R443" s="184"/>
      <c r="S443" s="183"/>
      <c r="T443" s="183"/>
    </row>
    <row r="444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4"/>
      <c r="O444" s="184"/>
      <c r="P444" s="184"/>
      <c r="Q444" s="184"/>
      <c r="R444" s="184"/>
      <c r="S444" s="183"/>
      <c r="T444" s="183"/>
    </row>
    <row r="445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4"/>
      <c r="O445" s="184"/>
      <c r="P445" s="184"/>
      <c r="Q445" s="184"/>
      <c r="R445" s="184"/>
      <c r="S445" s="183"/>
      <c r="T445" s="183"/>
    </row>
    <row r="446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4"/>
      <c r="O446" s="184"/>
      <c r="P446" s="184"/>
      <c r="Q446" s="184"/>
      <c r="R446" s="184"/>
      <c r="S446" s="183"/>
      <c r="T446" s="183"/>
    </row>
    <row r="447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4"/>
      <c r="O447" s="184"/>
      <c r="P447" s="184"/>
      <c r="Q447" s="184"/>
      <c r="R447" s="184"/>
      <c r="S447" s="183"/>
      <c r="T447" s="183"/>
    </row>
    <row r="448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4"/>
      <c r="O448" s="184"/>
      <c r="P448" s="184"/>
      <c r="Q448" s="184"/>
      <c r="R448" s="184"/>
      <c r="S448" s="183"/>
      <c r="T448" s="183"/>
    </row>
    <row r="449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4"/>
      <c r="O449" s="184"/>
      <c r="P449" s="184"/>
      <c r="Q449" s="184"/>
      <c r="R449" s="184"/>
      <c r="S449" s="183"/>
      <c r="T449" s="183"/>
    </row>
    <row r="450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4"/>
      <c r="O450" s="184"/>
      <c r="P450" s="184"/>
      <c r="Q450" s="184"/>
      <c r="R450" s="184"/>
      <c r="S450" s="183"/>
      <c r="T450" s="183"/>
    </row>
    <row r="45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4"/>
      <c r="O451" s="184"/>
      <c r="P451" s="184"/>
      <c r="Q451" s="184"/>
      <c r="R451" s="184"/>
      <c r="S451" s="183"/>
      <c r="T451" s="183"/>
    </row>
    <row r="452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4"/>
      <c r="O452" s="184"/>
      <c r="P452" s="184"/>
      <c r="Q452" s="184"/>
      <c r="R452" s="184"/>
      <c r="S452" s="183"/>
      <c r="T452" s="183"/>
    </row>
    <row r="453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4"/>
      <c r="O453" s="184"/>
      <c r="P453" s="184"/>
      <c r="Q453" s="184"/>
      <c r="R453" s="184"/>
      <c r="S453" s="183"/>
      <c r="T453" s="183"/>
    </row>
    <row r="454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4"/>
      <c r="O454" s="184"/>
      <c r="P454" s="184"/>
      <c r="Q454" s="184"/>
      <c r="R454" s="184"/>
      <c r="S454" s="183"/>
      <c r="T454" s="183"/>
    </row>
    <row r="455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4"/>
      <c r="O455" s="184"/>
      <c r="P455" s="184"/>
      <c r="Q455" s="184"/>
      <c r="R455" s="184"/>
      <c r="S455" s="183"/>
      <c r="T455" s="183"/>
    </row>
    <row r="456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4"/>
      <c r="O456" s="184"/>
      <c r="P456" s="184"/>
      <c r="Q456" s="184"/>
      <c r="R456" s="184"/>
      <c r="S456" s="183"/>
      <c r="T456" s="183"/>
    </row>
    <row r="457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4"/>
      <c r="O457" s="184"/>
      <c r="P457" s="184"/>
      <c r="Q457" s="184"/>
      <c r="R457" s="184"/>
      <c r="S457" s="183"/>
      <c r="T457" s="183"/>
    </row>
    <row r="458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4"/>
      <c r="O458" s="184"/>
      <c r="P458" s="184"/>
      <c r="Q458" s="184"/>
      <c r="R458" s="184"/>
      <c r="S458" s="183"/>
      <c r="T458" s="183"/>
    </row>
    <row r="459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4"/>
      <c r="O459" s="184"/>
      <c r="P459" s="184"/>
      <c r="Q459" s="184"/>
      <c r="R459" s="184"/>
      <c r="S459" s="183"/>
      <c r="T459" s="183"/>
    </row>
    <row r="460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4"/>
      <c r="O460" s="184"/>
      <c r="P460" s="184"/>
      <c r="Q460" s="184"/>
      <c r="R460" s="184"/>
      <c r="S460" s="183"/>
      <c r="T460" s="183"/>
    </row>
    <row r="46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4"/>
      <c r="O461" s="184"/>
      <c r="P461" s="184"/>
      <c r="Q461" s="184"/>
      <c r="R461" s="184"/>
      <c r="S461" s="183"/>
      <c r="T461" s="183"/>
    </row>
    <row r="462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4"/>
      <c r="O462" s="184"/>
      <c r="P462" s="184"/>
      <c r="Q462" s="184"/>
      <c r="R462" s="184"/>
      <c r="S462" s="183"/>
      <c r="T462" s="183"/>
    </row>
    <row r="463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4"/>
      <c r="O463" s="184"/>
      <c r="P463" s="184"/>
      <c r="Q463" s="184"/>
      <c r="R463" s="184"/>
      <c r="S463" s="183"/>
      <c r="T463" s="183"/>
    </row>
    <row r="464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4"/>
      <c r="O464" s="184"/>
      <c r="P464" s="184"/>
      <c r="Q464" s="184"/>
      <c r="R464" s="184"/>
      <c r="S464" s="183"/>
      <c r="T464" s="183"/>
    </row>
    <row r="465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4"/>
      <c r="O465" s="184"/>
      <c r="P465" s="184"/>
      <c r="Q465" s="184"/>
      <c r="R465" s="184"/>
      <c r="S465" s="183"/>
      <c r="T465" s="183"/>
    </row>
    <row r="466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4"/>
      <c r="O466" s="184"/>
      <c r="P466" s="184"/>
      <c r="Q466" s="184"/>
      <c r="R466" s="184"/>
      <c r="S466" s="183"/>
      <c r="T466" s="183"/>
    </row>
    <row r="467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4"/>
      <c r="O467" s="184"/>
      <c r="P467" s="184"/>
      <c r="Q467" s="184"/>
      <c r="R467" s="184"/>
      <c r="S467" s="183"/>
      <c r="T467" s="183"/>
    </row>
    <row r="468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4"/>
      <c r="O468" s="184"/>
      <c r="P468" s="184"/>
      <c r="Q468" s="184"/>
      <c r="R468" s="184"/>
      <c r="S468" s="183"/>
      <c r="T468" s="183"/>
    </row>
    <row r="469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4"/>
      <c r="O469" s="184"/>
      <c r="P469" s="184"/>
      <c r="Q469" s="184"/>
      <c r="R469" s="184"/>
      <c r="S469" s="183"/>
      <c r="T469" s="183"/>
    </row>
    <row r="470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4"/>
      <c r="O470" s="184"/>
      <c r="P470" s="184"/>
      <c r="Q470" s="184"/>
      <c r="R470" s="184"/>
      <c r="S470" s="183"/>
      <c r="T470" s="183"/>
    </row>
    <row r="47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4"/>
      <c r="O471" s="184"/>
      <c r="P471" s="184"/>
      <c r="Q471" s="184"/>
      <c r="R471" s="184"/>
      <c r="S471" s="183"/>
      <c r="T471" s="183"/>
    </row>
    <row r="472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4"/>
      <c r="O472" s="184"/>
      <c r="P472" s="184"/>
      <c r="Q472" s="184"/>
      <c r="R472" s="184"/>
      <c r="S472" s="183"/>
      <c r="T472" s="183"/>
    </row>
    <row r="473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4"/>
      <c r="O473" s="184"/>
      <c r="P473" s="184"/>
      <c r="Q473" s="184"/>
      <c r="R473" s="184"/>
      <c r="S473" s="183"/>
      <c r="T473" s="183"/>
    </row>
    <row r="474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4"/>
      <c r="O474" s="184"/>
      <c r="P474" s="184"/>
      <c r="Q474" s="184"/>
      <c r="R474" s="184"/>
      <c r="S474" s="183"/>
      <c r="T474" s="183"/>
    </row>
    <row r="475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4"/>
      <c r="O475" s="184"/>
      <c r="P475" s="184"/>
      <c r="Q475" s="184"/>
      <c r="R475" s="184"/>
      <c r="S475" s="183"/>
      <c r="T475" s="183"/>
    </row>
    <row r="476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4"/>
      <c r="O476" s="184"/>
      <c r="P476" s="184"/>
      <c r="Q476" s="184"/>
      <c r="R476" s="184"/>
      <c r="S476" s="183"/>
      <c r="T476" s="183"/>
    </row>
    <row r="477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4"/>
      <c r="O477" s="184"/>
      <c r="P477" s="184"/>
      <c r="Q477" s="184"/>
      <c r="R477" s="184"/>
      <c r="S477" s="183"/>
      <c r="T477" s="183"/>
    </row>
    <row r="478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4"/>
      <c r="O478" s="184"/>
      <c r="P478" s="184"/>
      <c r="Q478" s="184"/>
      <c r="R478" s="184"/>
      <c r="S478" s="183"/>
      <c r="T478" s="183"/>
    </row>
    <row r="479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4"/>
      <c r="O479" s="184"/>
      <c r="P479" s="184"/>
      <c r="Q479" s="184"/>
      <c r="R479" s="184"/>
      <c r="S479" s="183"/>
      <c r="T479" s="183"/>
    </row>
    <row r="480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4"/>
      <c r="O480" s="184"/>
      <c r="P480" s="184"/>
      <c r="Q480" s="184"/>
      <c r="R480" s="184"/>
      <c r="S480" s="183"/>
      <c r="T480" s="183"/>
    </row>
    <row r="48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4"/>
      <c r="O481" s="184"/>
      <c r="P481" s="184"/>
      <c r="Q481" s="184"/>
      <c r="R481" s="184"/>
      <c r="S481" s="183"/>
      <c r="T481" s="183"/>
    </row>
    <row r="482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4"/>
      <c r="O482" s="184"/>
      <c r="P482" s="184"/>
      <c r="Q482" s="184"/>
      <c r="R482" s="184"/>
      <c r="S482" s="183"/>
      <c r="T482" s="183"/>
    </row>
    <row r="483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4"/>
      <c r="O483" s="184"/>
      <c r="P483" s="184"/>
      <c r="Q483" s="184"/>
      <c r="R483" s="184"/>
      <c r="S483" s="183"/>
      <c r="T483" s="183"/>
    </row>
    <row r="484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4"/>
      <c r="O484" s="184"/>
      <c r="P484" s="184"/>
      <c r="Q484" s="184"/>
      <c r="R484" s="184"/>
      <c r="S484" s="183"/>
      <c r="T484" s="183"/>
    </row>
    <row r="485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4"/>
      <c r="O485" s="184"/>
      <c r="P485" s="184"/>
      <c r="Q485" s="184"/>
      <c r="R485" s="184"/>
      <c r="S485" s="183"/>
      <c r="T485" s="183"/>
    </row>
    <row r="486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4"/>
      <c r="O486" s="184"/>
      <c r="P486" s="184"/>
      <c r="Q486" s="184"/>
      <c r="R486" s="184"/>
      <c r="S486" s="183"/>
      <c r="T486" s="183"/>
    </row>
    <row r="487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4"/>
      <c r="O487" s="184"/>
      <c r="P487" s="184"/>
      <c r="Q487" s="184"/>
      <c r="R487" s="184"/>
      <c r="S487" s="183"/>
      <c r="T487" s="183"/>
    </row>
    <row r="488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4"/>
      <c r="O488" s="184"/>
      <c r="P488" s="184"/>
      <c r="Q488" s="184"/>
      <c r="R488" s="184"/>
      <c r="S488" s="183"/>
      <c r="T488" s="183"/>
    </row>
    <row r="489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4"/>
      <c r="O489" s="184"/>
      <c r="P489" s="184"/>
      <c r="Q489" s="184"/>
      <c r="R489" s="184"/>
      <c r="S489" s="183"/>
      <c r="T489" s="183"/>
    </row>
    <row r="490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4"/>
      <c r="O490" s="184"/>
      <c r="P490" s="184"/>
      <c r="Q490" s="184"/>
      <c r="R490" s="184"/>
      <c r="S490" s="183"/>
      <c r="T490" s="183"/>
    </row>
    <row r="49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4"/>
      <c r="O491" s="184"/>
      <c r="P491" s="184"/>
      <c r="Q491" s="184"/>
      <c r="R491" s="184"/>
      <c r="S491" s="183"/>
      <c r="T491" s="183"/>
    </row>
    <row r="492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4"/>
      <c r="O492" s="184"/>
      <c r="P492" s="184"/>
      <c r="Q492" s="184"/>
      <c r="R492" s="184"/>
      <c r="S492" s="183"/>
      <c r="T492" s="183"/>
    </row>
    <row r="493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4"/>
      <c r="O493" s="184"/>
      <c r="P493" s="184"/>
      <c r="Q493" s="184"/>
      <c r="R493" s="184"/>
      <c r="S493" s="183"/>
      <c r="T493" s="183"/>
    </row>
    <row r="494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4"/>
      <c r="O494" s="184"/>
      <c r="P494" s="184"/>
      <c r="Q494" s="184"/>
      <c r="R494" s="184"/>
      <c r="S494" s="183"/>
      <c r="T494" s="183"/>
    </row>
    <row r="495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4"/>
      <c r="O495" s="184"/>
      <c r="P495" s="184"/>
      <c r="Q495" s="184"/>
      <c r="R495" s="184"/>
      <c r="S495" s="183"/>
      <c r="T495" s="183"/>
    </row>
    <row r="496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4"/>
      <c r="O496" s="184"/>
      <c r="P496" s="184"/>
      <c r="Q496" s="184"/>
      <c r="R496" s="184"/>
      <c r="S496" s="183"/>
      <c r="T496" s="183"/>
    </row>
    <row r="497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4"/>
      <c r="O497" s="184"/>
      <c r="P497" s="184"/>
      <c r="Q497" s="184"/>
      <c r="R497" s="184"/>
      <c r="S497" s="183"/>
      <c r="T497" s="183"/>
    </row>
    <row r="498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4"/>
      <c r="O498" s="184"/>
      <c r="P498" s="184"/>
      <c r="Q498" s="184"/>
      <c r="R498" s="184"/>
      <c r="S498" s="183"/>
      <c r="T498" s="183"/>
    </row>
    <row r="499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4"/>
      <c r="O499" s="184"/>
      <c r="P499" s="184"/>
      <c r="Q499" s="184"/>
      <c r="R499" s="184"/>
      <c r="S499" s="183"/>
      <c r="T499" s="183"/>
    </row>
    <row r="500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4"/>
      <c r="O500" s="184"/>
      <c r="P500" s="184"/>
      <c r="Q500" s="184"/>
      <c r="R500" s="184"/>
      <c r="S500" s="183"/>
      <c r="T500" s="183"/>
    </row>
    <row r="50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4"/>
      <c r="O501" s="184"/>
      <c r="P501" s="184"/>
      <c r="Q501" s="184"/>
      <c r="R501" s="184"/>
      <c r="S501" s="183"/>
      <c r="T501" s="183"/>
    </row>
    <row r="502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4"/>
      <c r="O502" s="184"/>
      <c r="P502" s="184"/>
      <c r="Q502" s="184"/>
      <c r="R502" s="184"/>
      <c r="S502" s="183"/>
      <c r="T502" s="183"/>
    </row>
    <row r="503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4"/>
      <c r="O503" s="184"/>
      <c r="P503" s="184"/>
      <c r="Q503" s="184"/>
      <c r="R503" s="184"/>
      <c r="S503" s="183"/>
      <c r="T503" s="183"/>
    </row>
    <row r="504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4"/>
      <c r="O504" s="184"/>
      <c r="P504" s="184"/>
      <c r="Q504" s="184"/>
      <c r="R504" s="184"/>
      <c r="S504" s="183"/>
      <c r="T504" s="183"/>
    </row>
    <row r="505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4"/>
      <c r="O505" s="184"/>
      <c r="P505" s="184"/>
      <c r="Q505" s="184"/>
      <c r="R505" s="184"/>
      <c r="S505" s="183"/>
      <c r="T505" s="183"/>
    </row>
    <row r="506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4"/>
      <c r="O506" s="184"/>
      <c r="P506" s="184"/>
      <c r="Q506" s="184"/>
      <c r="R506" s="184"/>
      <c r="S506" s="183"/>
      <c r="T506" s="183"/>
    </row>
    <row r="507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4"/>
      <c r="O507" s="184"/>
      <c r="P507" s="184"/>
      <c r="Q507" s="184"/>
      <c r="R507" s="184"/>
      <c r="S507" s="183"/>
      <c r="T507" s="183"/>
    </row>
    <row r="508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4"/>
      <c r="O508" s="184"/>
      <c r="P508" s="184"/>
      <c r="Q508" s="184"/>
      <c r="R508" s="184"/>
      <c r="S508" s="183"/>
      <c r="T508" s="183"/>
    </row>
    <row r="509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4"/>
      <c r="O509" s="184"/>
      <c r="P509" s="184"/>
      <c r="Q509" s="184"/>
      <c r="R509" s="184"/>
      <c r="S509" s="183"/>
      <c r="T509" s="183"/>
    </row>
    <row r="510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4"/>
      <c r="O510" s="184"/>
      <c r="P510" s="184"/>
      <c r="Q510" s="184"/>
      <c r="R510" s="184"/>
      <c r="S510" s="183"/>
      <c r="T510" s="183"/>
    </row>
    <row r="51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4"/>
      <c r="O511" s="184"/>
      <c r="P511" s="184"/>
      <c r="Q511" s="184"/>
      <c r="R511" s="184"/>
      <c r="S511" s="183"/>
      <c r="T511" s="183"/>
    </row>
    <row r="512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4"/>
      <c r="O512" s="184"/>
      <c r="P512" s="184"/>
      <c r="Q512" s="184"/>
      <c r="R512" s="184"/>
      <c r="S512" s="183"/>
      <c r="T512" s="183"/>
    </row>
    <row r="513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4"/>
      <c r="O513" s="184"/>
      <c r="P513" s="184"/>
      <c r="Q513" s="184"/>
      <c r="R513" s="184"/>
      <c r="S513" s="183"/>
      <c r="T513" s="183"/>
    </row>
    <row r="514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4"/>
      <c r="O514" s="184"/>
      <c r="P514" s="184"/>
      <c r="Q514" s="184"/>
      <c r="R514" s="184"/>
      <c r="S514" s="183"/>
      <c r="T514" s="183"/>
    </row>
    <row r="515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4"/>
      <c r="O515" s="184"/>
      <c r="P515" s="184"/>
      <c r="Q515" s="184"/>
      <c r="R515" s="184"/>
      <c r="S515" s="183"/>
      <c r="T515" s="183"/>
    </row>
    <row r="516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4"/>
      <c r="O516" s="184"/>
      <c r="P516" s="184"/>
      <c r="Q516" s="184"/>
      <c r="R516" s="184"/>
      <c r="S516" s="183"/>
      <c r="T516" s="183"/>
    </row>
    <row r="517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4"/>
      <c r="O517" s="184"/>
      <c r="P517" s="184"/>
      <c r="Q517" s="184"/>
      <c r="R517" s="184"/>
      <c r="S517" s="183"/>
      <c r="T517" s="183"/>
    </row>
    <row r="518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4"/>
      <c r="O518" s="184"/>
      <c r="P518" s="184"/>
      <c r="Q518" s="184"/>
      <c r="R518" s="184"/>
      <c r="S518" s="183"/>
      <c r="T518" s="183"/>
    </row>
    <row r="519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4"/>
      <c r="O519" s="184"/>
      <c r="P519" s="184"/>
      <c r="Q519" s="184"/>
      <c r="R519" s="184"/>
      <c r="S519" s="183"/>
      <c r="T519" s="183"/>
    </row>
    <row r="520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4"/>
      <c r="O520" s="184"/>
      <c r="P520" s="184"/>
      <c r="Q520" s="184"/>
      <c r="R520" s="184"/>
      <c r="S520" s="183"/>
      <c r="T520" s="183"/>
    </row>
    <row r="52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4"/>
      <c r="O521" s="184"/>
      <c r="P521" s="184"/>
      <c r="Q521" s="184"/>
      <c r="R521" s="184"/>
      <c r="S521" s="183"/>
      <c r="T521" s="183"/>
    </row>
    <row r="522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4"/>
      <c r="O522" s="184"/>
      <c r="P522" s="184"/>
      <c r="Q522" s="184"/>
      <c r="R522" s="184"/>
      <c r="S522" s="183"/>
      <c r="T522" s="183"/>
    </row>
    <row r="523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4"/>
      <c r="O523" s="184"/>
      <c r="P523" s="184"/>
      <c r="Q523" s="184"/>
      <c r="R523" s="184"/>
      <c r="S523" s="183"/>
      <c r="T523" s="183"/>
    </row>
    <row r="524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4"/>
      <c r="O524" s="184"/>
      <c r="P524" s="184"/>
      <c r="Q524" s="184"/>
      <c r="R524" s="184"/>
      <c r="S524" s="183"/>
      <c r="T524" s="183"/>
    </row>
    <row r="525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4"/>
      <c r="O525" s="184"/>
      <c r="P525" s="184"/>
      <c r="Q525" s="184"/>
      <c r="R525" s="184"/>
      <c r="S525" s="183"/>
      <c r="T525" s="183"/>
    </row>
    <row r="526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4"/>
      <c r="O526" s="184"/>
      <c r="P526" s="184"/>
      <c r="Q526" s="184"/>
      <c r="R526" s="184"/>
      <c r="S526" s="183"/>
      <c r="T526" s="183"/>
    </row>
    <row r="527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4"/>
      <c r="O527" s="184"/>
      <c r="P527" s="184"/>
      <c r="Q527" s="184"/>
      <c r="R527" s="184"/>
      <c r="S527" s="183"/>
      <c r="T527" s="183"/>
    </row>
    <row r="528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4"/>
      <c r="O528" s="184"/>
      <c r="P528" s="184"/>
      <c r="Q528" s="184"/>
      <c r="R528" s="184"/>
      <c r="S528" s="183"/>
      <c r="T528" s="183"/>
    </row>
    <row r="529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4"/>
      <c r="O529" s="184"/>
      <c r="P529" s="184"/>
      <c r="Q529" s="184"/>
      <c r="R529" s="184"/>
      <c r="S529" s="183"/>
      <c r="T529" s="183"/>
    </row>
    <row r="530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4"/>
      <c r="O530" s="184"/>
      <c r="P530" s="184"/>
      <c r="Q530" s="184"/>
      <c r="R530" s="184"/>
      <c r="S530" s="183"/>
      <c r="T530" s="183"/>
    </row>
    <row r="53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4"/>
      <c r="O531" s="184"/>
      <c r="P531" s="184"/>
      <c r="Q531" s="184"/>
      <c r="R531" s="184"/>
      <c r="S531" s="183"/>
      <c r="T531" s="183"/>
    </row>
    <row r="532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4"/>
      <c r="O532" s="184"/>
      <c r="P532" s="184"/>
      <c r="Q532" s="184"/>
      <c r="R532" s="184"/>
      <c r="S532" s="183"/>
      <c r="T532" s="183"/>
    </row>
    <row r="533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4"/>
      <c r="O533" s="184"/>
      <c r="P533" s="184"/>
      <c r="Q533" s="184"/>
      <c r="R533" s="184"/>
      <c r="S533" s="183"/>
      <c r="T533" s="183"/>
    </row>
    <row r="534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4"/>
      <c r="O534" s="184"/>
      <c r="P534" s="184"/>
      <c r="Q534" s="184"/>
      <c r="R534" s="184"/>
      <c r="S534" s="183"/>
      <c r="T534" s="183"/>
    </row>
    <row r="535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4"/>
      <c r="O535" s="184"/>
      <c r="P535" s="184"/>
      <c r="Q535" s="184"/>
      <c r="R535" s="184"/>
      <c r="S535" s="183"/>
      <c r="T535" s="183"/>
    </row>
    <row r="536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4"/>
      <c r="O536" s="184"/>
      <c r="P536" s="184"/>
      <c r="Q536" s="184"/>
      <c r="R536" s="184"/>
      <c r="S536" s="183"/>
      <c r="T536" s="183"/>
    </row>
    <row r="537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4"/>
      <c r="O537" s="184"/>
      <c r="P537" s="184"/>
      <c r="Q537" s="184"/>
      <c r="R537" s="184"/>
      <c r="S537" s="183"/>
      <c r="T537" s="183"/>
    </row>
    <row r="538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4"/>
      <c r="O538" s="184"/>
      <c r="P538" s="184"/>
      <c r="Q538" s="184"/>
      <c r="R538" s="184"/>
      <c r="S538" s="183"/>
      <c r="T538" s="183"/>
    </row>
    <row r="539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4"/>
      <c r="O539" s="184"/>
      <c r="P539" s="184"/>
      <c r="Q539" s="184"/>
      <c r="R539" s="184"/>
      <c r="S539" s="183"/>
      <c r="T539" s="183"/>
    </row>
    <row r="540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4"/>
      <c r="O540" s="184"/>
      <c r="P540" s="184"/>
      <c r="Q540" s="184"/>
      <c r="R540" s="184"/>
      <c r="S540" s="183"/>
      <c r="T540" s="183"/>
    </row>
    <row r="54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4"/>
      <c r="O541" s="184"/>
      <c r="P541" s="184"/>
      <c r="Q541" s="184"/>
      <c r="R541" s="184"/>
      <c r="S541" s="183"/>
      <c r="T541" s="183"/>
    </row>
    <row r="542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4"/>
      <c r="O542" s="184"/>
      <c r="P542" s="184"/>
      <c r="Q542" s="184"/>
      <c r="R542" s="184"/>
      <c r="S542" s="183"/>
      <c r="T542" s="183"/>
    </row>
    <row r="543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4"/>
      <c r="O543" s="184"/>
      <c r="P543" s="184"/>
      <c r="Q543" s="184"/>
      <c r="R543" s="184"/>
      <c r="S543" s="183"/>
      <c r="T543" s="183"/>
    </row>
    <row r="544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4"/>
      <c r="O544" s="184"/>
      <c r="P544" s="184"/>
      <c r="Q544" s="184"/>
      <c r="R544" s="184"/>
      <c r="S544" s="183"/>
      <c r="T544" s="183"/>
    </row>
    <row r="545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4"/>
      <c r="O545" s="184"/>
      <c r="P545" s="184"/>
      <c r="Q545" s="184"/>
      <c r="R545" s="184"/>
      <c r="S545" s="183"/>
      <c r="T545" s="183"/>
    </row>
    <row r="546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4"/>
      <c r="O546" s="184"/>
      <c r="P546" s="184"/>
      <c r="Q546" s="184"/>
      <c r="R546" s="184"/>
      <c r="S546" s="183"/>
      <c r="T546" s="183"/>
    </row>
    <row r="547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4"/>
      <c r="O547" s="184"/>
      <c r="P547" s="184"/>
      <c r="Q547" s="184"/>
      <c r="R547" s="184"/>
      <c r="S547" s="183"/>
      <c r="T547" s="183"/>
    </row>
    <row r="548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4"/>
      <c r="O548" s="184"/>
      <c r="P548" s="184"/>
      <c r="Q548" s="184"/>
      <c r="R548" s="184"/>
      <c r="S548" s="183"/>
      <c r="T548" s="183"/>
    </row>
    <row r="549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4"/>
      <c r="O549" s="184"/>
      <c r="P549" s="184"/>
      <c r="Q549" s="184"/>
      <c r="R549" s="184"/>
      <c r="S549" s="183"/>
      <c r="T549" s="183"/>
    </row>
    <row r="550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4"/>
      <c r="O550" s="184"/>
      <c r="P550" s="184"/>
      <c r="Q550" s="184"/>
      <c r="R550" s="184"/>
      <c r="S550" s="183"/>
      <c r="T550" s="183"/>
    </row>
    <row r="55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4"/>
      <c r="O551" s="184"/>
      <c r="P551" s="184"/>
      <c r="Q551" s="184"/>
      <c r="R551" s="184"/>
      <c r="S551" s="183"/>
      <c r="T551" s="183"/>
    </row>
    <row r="552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4"/>
      <c r="O552" s="184"/>
      <c r="P552" s="184"/>
      <c r="Q552" s="184"/>
      <c r="R552" s="184"/>
      <c r="S552" s="183"/>
      <c r="T552" s="183"/>
    </row>
    <row r="553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4"/>
      <c r="O553" s="184"/>
      <c r="P553" s="184"/>
      <c r="Q553" s="184"/>
      <c r="R553" s="184"/>
      <c r="S553" s="183"/>
      <c r="T553" s="183"/>
    </row>
    <row r="554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4"/>
      <c r="O554" s="184"/>
      <c r="P554" s="184"/>
      <c r="Q554" s="184"/>
      <c r="R554" s="184"/>
      <c r="S554" s="183"/>
      <c r="T554" s="183"/>
    </row>
    <row r="555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4"/>
      <c r="O555" s="184"/>
      <c r="P555" s="184"/>
      <c r="Q555" s="184"/>
      <c r="R555" s="184"/>
      <c r="S555" s="183"/>
      <c r="T555" s="183"/>
    </row>
    <row r="556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4"/>
      <c r="O556" s="184"/>
      <c r="P556" s="184"/>
      <c r="Q556" s="184"/>
      <c r="R556" s="184"/>
      <c r="S556" s="183"/>
      <c r="T556" s="183"/>
    </row>
    <row r="557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4"/>
      <c r="O557" s="184"/>
      <c r="P557" s="184"/>
      <c r="Q557" s="184"/>
      <c r="R557" s="184"/>
      <c r="S557" s="183"/>
      <c r="T557" s="183"/>
    </row>
    <row r="558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4"/>
      <c r="O558" s="184"/>
      <c r="P558" s="184"/>
      <c r="Q558" s="184"/>
      <c r="R558" s="184"/>
      <c r="S558" s="183"/>
      <c r="T558" s="183"/>
    </row>
    <row r="559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4"/>
      <c r="O559" s="184"/>
      <c r="P559" s="184"/>
      <c r="Q559" s="184"/>
      <c r="R559" s="184"/>
      <c r="S559" s="183"/>
      <c r="T559" s="183"/>
    </row>
    <row r="560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4"/>
      <c r="O560" s="184"/>
      <c r="P560" s="184"/>
      <c r="Q560" s="184"/>
      <c r="R560" s="184"/>
      <c r="S560" s="183"/>
      <c r="T560" s="183"/>
    </row>
    <row r="56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4"/>
      <c r="O561" s="184"/>
      <c r="P561" s="184"/>
      <c r="Q561" s="184"/>
      <c r="R561" s="184"/>
      <c r="S561" s="183"/>
      <c r="T561" s="183"/>
    </row>
    <row r="562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4"/>
      <c r="O562" s="184"/>
      <c r="P562" s="184"/>
      <c r="Q562" s="184"/>
      <c r="R562" s="184"/>
      <c r="S562" s="183"/>
      <c r="T562" s="183"/>
    </row>
    <row r="563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4"/>
      <c r="O563" s="184"/>
      <c r="P563" s="184"/>
      <c r="Q563" s="184"/>
      <c r="R563" s="184"/>
      <c r="S563" s="183"/>
      <c r="T563" s="183"/>
    </row>
    <row r="564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4"/>
      <c r="O564" s="184"/>
      <c r="P564" s="184"/>
      <c r="Q564" s="184"/>
      <c r="R564" s="184"/>
      <c r="S564" s="183"/>
      <c r="T564" s="183"/>
    </row>
    <row r="565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4"/>
      <c r="O565" s="184"/>
      <c r="P565" s="184"/>
      <c r="Q565" s="184"/>
      <c r="R565" s="184"/>
      <c r="S565" s="183"/>
      <c r="T565" s="183"/>
    </row>
    <row r="566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4"/>
      <c r="O566" s="184"/>
      <c r="P566" s="184"/>
      <c r="Q566" s="184"/>
      <c r="R566" s="184"/>
      <c r="S566" s="183"/>
      <c r="T566" s="183"/>
    </row>
    <row r="567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4"/>
      <c r="O567" s="184"/>
      <c r="P567" s="184"/>
      <c r="Q567" s="184"/>
      <c r="R567" s="184"/>
      <c r="S567" s="183"/>
      <c r="T567" s="183"/>
    </row>
    <row r="568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4"/>
      <c r="O568" s="184"/>
      <c r="P568" s="184"/>
      <c r="Q568" s="184"/>
      <c r="R568" s="184"/>
      <c r="S568" s="183"/>
      <c r="T568" s="183"/>
    </row>
    <row r="569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4"/>
      <c r="O569" s="184"/>
      <c r="P569" s="184"/>
      <c r="Q569" s="184"/>
      <c r="R569" s="184"/>
      <c r="S569" s="183"/>
      <c r="T569" s="183"/>
    </row>
    <row r="570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4"/>
      <c r="O570" s="184"/>
      <c r="P570" s="184"/>
      <c r="Q570" s="184"/>
      <c r="R570" s="184"/>
      <c r="S570" s="183"/>
      <c r="T570" s="183"/>
    </row>
    <row r="57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4"/>
      <c r="O571" s="184"/>
      <c r="P571" s="184"/>
      <c r="Q571" s="184"/>
      <c r="R571" s="184"/>
      <c r="S571" s="183"/>
      <c r="T571" s="183"/>
    </row>
    <row r="572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4"/>
      <c r="O572" s="184"/>
      <c r="P572" s="184"/>
      <c r="Q572" s="184"/>
      <c r="R572" s="184"/>
      <c r="S572" s="183"/>
      <c r="T572" s="183"/>
    </row>
    <row r="573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4"/>
      <c r="O573" s="184"/>
      <c r="P573" s="184"/>
      <c r="Q573" s="184"/>
      <c r="R573" s="184"/>
      <c r="S573" s="183"/>
      <c r="T573" s="183"/>
    </row>
    <row r="574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4"/>
      <c r="O574" s="184"/>
      <c r="P574" s="184"/>
      <c r="Q574" s="184"/>
      <c r="R574" s="184"/>
      <c r="S574" s="183"/>
      <c r="T574" s="183"/>
    </row>
    <row r="575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4"/>
      <c r="O575" s="184"/>
      <c r="P575" s="184"/>
      <c r="Q575" s="184"/>
      <c r="R575" s="184"/>
      <c r="S575" s="183"/>
      <c r="T575" s="183"/>
    </row>
    <row r="576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4"/>
      <c r="O576" s="184"/>
      <c r="P576" s="184"/>
      <c r="Q576" s="184"/>
      <c r="R576" s="184"/>
      <c r="S576" s="183"/>
      <c r="T576" s="183"/>
    </row>
    <row r="577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4"/>
      <c r="O577" s="184"/>
      <c r="P577" s="184"/>
      <c r="Q577" s="184"/>
      <c r="R577" s="184"/>
      <c r="S577" s="183"/>
      <c r="T577" s="183"/>
    </row>
    <row r="578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4"/>
      <c r="O578" s="184"/>
      <c r="P578" s="184"/>
      <c r="Q578" s="184"/>
      <c r="R578" s="184"/>
      <c r="S578" s="183"/>
      <c r="T578" s="183"/>
    </row>
    <row r="579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4"/>
      <c r="O579" s="184"/>
      <c r="P579" s="184"/>
      <c r="Q579" s="184"/>
      <c r="R579" s="184"/>
      <c r="S579" s="183"/>
      <c r="T579" s="183"/>
    </row>
    <row r="580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4"/>
      <c r="O580" s="184"/>
      <c r="P580" s="184"/>
      <c r="Q580" s="184"/>
      <c r="R580" s="184"/>
      <c r="S580" s="183"/>
      <c r="T580" s="183"/>
    </row>
    <row r="58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4"/>
      <c r="O581" s="184"/>
      <c r="P581" s="184"/>
      <c r="Q581" s="184"/>
      <c r="R581" s="184"/>
      <c r="S581" s="183"/>
      <c r="T581" s="183"/>
    </row>
    <row r="582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4"/>
      <c r="O582" s="184"/>
      <c r="P582" s="184"/>
      <c r="Q582" s="184"/>
      <c r="R582" s="184"/>
      <c r="S582" s="183"/>
      <c r="T582" s="183"/>
    </row>
    <row r="583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4"/>
      <c r="O583" s="184"/>
      <c r="P583" s="184"/>
      <c r="Q583" s="184"/>
      <c r="R583" s="184"/>
      <c r="S583" s="183"/>
      <c r="T583" s="183"/>
    </row>
    <row r="584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4"/>
      <c r="O584" s="184"/>
      <c r="P584" s="184"/>
      <c r="Q584" s="184"/>
      <c r="R584" s="184"/>
      <c r="S584" s="183"/>
      <c r="T584" s="183"/>
    </row>
    <row r="585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4"/>
      <c r="O585" s="184"/>
      <c r="P585" s="184"/>
      <c r="Q585" s="184"/>
      <c r="R585" s="184"/>
      <c r="S585" s="183"/>
      <c r="T585" s="183"/>
    </row>
    <row r="586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4"/>
      <c r="O586" s="184"/>
      <c r="P586" s="184"/>
      <c r="Q586" s="184"/>
      <c r="R586" s="184"/>
      <c r="S586" s="183"/>
      <c r="T586" s="183"/>
    </row>
    <row r="587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4"/>
      <c r="O587" s="184"/>
      <c r="P587" s="184"/>
      <c r="Q587" s="184"/>
      <c r="R587" s="184"/>
      <c r="S587" s="183"/>
      <c r="T587" s="183"/>
    </row>
    <row r="588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4"/>
      <c r="O588" s="184"/>
      <c r="P588" s="184"/>
      <c r="Q588" s="184"/>
      <c r="R588" s="184"/>
      <c r="S588" s="183"/>
      <c r="T588" s="183"/>
    </row>
    <row r="589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4"/>
      <c r="O589" s="184"/>
      <c r="P589" s="184"/>
      <c r="Q589" s="184"/>
      <c r="R589" s="184"/>
      <c r="S589" s="183"/>
      <c r="T589" s="183"/>
    </row>
    <row r="590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4"/>
      <c r="O590" s="184"/>
      <c r="P590" s="184"/>
      <c r="Q590" s="184"/>
      <c r="R590" s="184"/>
      <c r="S590" s="183"/>
      <c r="T590" s="183"/>
    </row>
    <row r="59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4"/>
      <c r="O591" s="184"/>
      <c r="P591" s="184"/>
      <c r="Q591" s="184"/>
      <c r="R591" s="184"/>
      <c r="S591" s="183"/>
      <c r="T591" s="183"/>
    </row>
    <row r="592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4"/>
      <c r="O592" s="184"/>
      <c r="P592" s="184"/>
      <c r="Q592" s="184"/>
      <c r="R592" s="184"/>
      <c r="S592" s="183"/>
      <c r="T592" s="183"/>
    </row>
    <row r="593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4"/>
      <c r="O593" s="184"/>
      <c r="P593" s="184"/>
      <c r="Q593" s="184"/>
      <c r="R593" s="184"/>
      <c r="S593" s="183"/>
      <c r="T593" s="183"/>
    </row>
    <row r="594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4"/>
      <c r="O594" s="184"/>
      <c r="P594" s="184"/>
      <c r="Q594" s="184"/>
      <c r="R594" s="184"/>
      <c r="S594" s="183"/>
      <c r="T594" s="183"/>
    </row>
    <row r="595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4"/>
      <c r="O595" s="184"/>
      <c r="P595" s="184"/>
      <c r="Q595" s="184"/>
      <c r="R595" s="184"/>
      <c r="S595" s="183"/>
      <c r="T595" s="183"/>
    </row>
    <row r="596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4"/>
      <c r="O596" s="184"/>
      <c r="P596" s="184"/>
      <c r="Q596" s="184"/>
      <c r="R596" s="184"/>
      <c r="S596" s="183"/>
      <c r="T596" s="183"/>
    </row>
    <row r="597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4"/>
      <c r="O597" s="184"/>
      <c r="P597" s="184"/>
      <c r="Q597" s="184"/>
      <c r="R597" s="184"/>
      <c r="S597" s="183"/>
      <c r="T597" s="183"/>
    </row>
    <row r="598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4"/>
      <c r="O598" s="184"/>
      <c r="P598" s="184"/>
      <c r="Q598" s="184"/>
      <c r="R598" s="184"/>
      <c r="S598" s="183"/>
      <c r="T598" s="183"/>
    </row>
    <row r="599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4"/>
      <c r="O599" s="184"/>
      <c r="P599" s="184"/>
      <c r="Q599" s="184"/>
      <c r="R599" s="184"/>
      <c r="S599" s="183"/>
      <c r="T599" s="183"/>
    </row>
    <row r="600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4"/>
      <c r="O600" s="184"/>
      <c r="P600" s="184"/>
      <c r="Q600" s="184"/>
      <c r="R600" s="184"/>
      <c r="S600" s="183"/>
      <c r="T600" s="183"/>
    </row>
    <row r="60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4"/>
      <c r="O601" s="184"/>
      <c r="P601" s="184"/>
      <c r="Q601" s="184"/>
      <c r="R601" s="184"/>
      <c r="S601" s="183"/>
      <c r="T601" s="183"/>
    </row>
    <row r="602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4"/>
      <c r="O602" s="184"/>
      <c r="P602" s="184"/>
      <c r="Q602" s="184"/>
      <c r="R602" s="184"/>
      <c r="S602" s="183"/>
      <c r="T602" s="183"/>
    </row>
    <row r="603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4"/>
      <c r="O603" s="184"/>
      <c r="P603" s="184"/>
      <c r="Q603" s="184"/>
      <c r="R603" s="184"/>
      <c r="S603" s="183"/>
      <c r="T603" s="183"/>
    </row>
    <row r="604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4"/>
      <c r="O604" s="184"/>
      <c r="P604" s="184"/>
      <c r="Q604" s="184"/>
      <c r="R604" s="184"/>
      <c r="S604" s="183"/>
      <c r="T604" s="183"/>
    </row>
    <row r="605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4"/>
      <c r="O605" s="184"/>
      <c r="P605" s="184"/>
      <c r="Q605" s="184"/>
      <c r="R605" s="184"/>
      <c r="S605" s="183"/>
      <c r="T605" s="183"/>
    </row>
    <row r="606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4"/>
      <c r="O606" s="184"/>
      <c r="P606" s="184"/>
      <c r="Q606" s="184"/>
      <c r="R606" s="184"/>
      <c r="S606" s="183"/>
      <c r="T606" s="183"/>
    </row>
    <row r="607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4"/>
      <c r="O607" s="184"/>
      <c r="P607" s="184"/>
      <c r="Q607" s="184"/>
      <c r="R607" s="184"/>
      <c r="S607" s="183"/>
      <c r="T607" s="183"/>
    </row>
    <row r="608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4"/>
      <c r="O608" s="184"/>
      <c r="P608" s="184"/>
      <c r="Q608" s="184"/>
      <c r="R608" s="184"/>
      <c r="S608" s="183"/>
      <c r="T608" s="183"/>
    </row>
    <row r="609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4"/>
      <c r="O609" s="184"/>
      <c r="P609" s="184"/>
      <c r="Q609" s="184"/>
      <c r="R609" s="184"/>
      <c r="S609" s="183"/>
      <c r="T609" s="183"/>
    </row>
    <row r="610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4"/>
      <c r="O610" s="184"/>
      <c r="P610" s="184"/>
      <c r="Q610" s="184"/>
      <c r="R610" s="184"/>
      <c r="S610" s="183"/>
      <c r="T610" s="183"/>
    </row>
    <row r="61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4"/>
      <c r="O611" s="184"/>
      <c r="P611" s="184"/>
      <c r="Q611" s="184"/>
      <c r="R611" s="184"/>
      <c r="S611" s="183"/>
      <c r="T611" s="183"/>
    </row>
    <row r="612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4"/>
      <c r="O612" s="184"/>
      <c r="P612" s="184"/>
      <c r="Q612" s="184"/>
      <c r="R612" s="184"/>
      <c r="S612" s="183"/>
      <c r="T612" s="183"/>
    </row>
    <row r="613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4"/>
      <c r="O613" s="184"/>
      <c r="P613" s="184"/>
      <c r="Q613" s="184"/>
      <c r="R613" s="184"/>
      <c r="S613" s="183"/>
      <c r="T613" s="183"/>
    </row>
    <row r="614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4"/>
      <c r="O614" s="184"/>
      <c r="P614" s="184"/>
      <c r="Q614" s="184"/>
      <c r="R614" s="184"/>
      <c r="S614" s="183"/>
      <c r="T614" s="183"/>
    </row>
    <row r="615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4"/>
      <c r="O615" s="184"/>
      <c r="P615" s="184"/>
      <c r="Q615" s="184"/>
      <c r="R615" s="184"/>
      <c r="S615" s="183"/>
      <c r="T615" s="183"/>
    </row>
    <row r="616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4"/>
      <c r="O616" s="184"/>
      <c r="P616" s="184"/>
      <c r="Q616" s="184"/>
      <c r="R616" s="184"/>
      <c r="S616" s="183"/>
      <c r="T616" s="183"/>
    </row>
    <row r="617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4"/>
      <c r="O617" s="184"/>
      <c r="P617" s="184"/>
      <c r="Q617" s="184"/>
      <c r="R617" s="184"/>
      <c r="S617" s="183"/>
      <c r="T617" s="183"/>
    </row>
    <row r="618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4"/>
      <c r="O618" s="184"/>
      <c r="P618" s="184"/>
      <c r="Q618" s="184"/>
      <c r="R618" s="184"/>
      <c r="S618" s="183"/>
      <c r="T618" s="183"/>
    </row>
    <row r="619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4"/>
      <c r="O619" s="184"/>
      <c r="P619" s="184"/>
      <c r="Q619" s="184"/>
      <c r="R619" s="184"/>
      <c r="S619" s="183"/>
      <c r="T619" s="183"/>
    </row>
    <row r="620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4"/>
      <c r="O620" s="184"/>
      <c r="P620" s="184"/>
      <c r="Q620" s="184"/>
      <c r="R620" s="184"/>
      <c r="S620" s="183"/>
      <c r="T620" s="183"/>
    </row>
    <row r="62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4"/>
      <c r="O621" s="184"/>
      <c r="P621" s="184"/>
      <c r="Q621" s="184"/>
      <c r="R621" s="184"/>
      <c r="S621" s="183"/>
      <c r="T621" s="183"/>
    </row>
    <row r="622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4"/>
      <c r="O622" s="184"/>
      <c r="P622" s="184"/>
      <c r="Q622" s="184"/>
      <c r="R622" s="184"/>
      <c r="S622" s="183"/>
      <c r="T622" s="183"/>
    </row>
    <row r="623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4"/>
      <c r="O623" s="184"/>
      <c r="P623" s="184"/>
      <c r="Q623" s="184"/>
      <c r="R623" s="184"/>
      <c r="S623" s="183"/>
      <c r="T623" s="183"/>
    </row>
    <row r="624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4"/>
      <c r="O624" s="184"/>
      <c r="P624" s="184"/>
      <c r="Q624" s="184"/>
      <c r="R624" s="184"/>
      <c r="S624" s="183"/>
      <c r="T624" s="183"/>
    </row>
    <row r="625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4"/>
      <c r="O625" s="184"/>
      <c r="P625" s="184"/>
      <c r="Q625" s="184"/>
      <c r="R625" s="184"/>
      <c r="S625" s="183"/>
      <c r="T625" s="183"/>
    </row>
    <row r="626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4"/>
      <c r="O626" s="184"/>
      <c r="P626" s="184"/>
      <c r="Q626" s="184"/>
      <c r="R626" s="184"/>
      <c r="S626" s="183"/>
      <c r="T626" s="183"/>
    </row>
    <row r="627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4"/>
      <c r="O627" s="184"/>
      <c r="P627" s="184"/>
      <c r="Q627" s="184"/>
      <c r="R627" s="184"/>
      <c r="S627" s="183"/>
      <c r="T627" s="183"/>
    </row>
    <row r="628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4"/>
      <c r="O628" s="184"/>
      <c r="P628" s="184"/>
      <c r="Q628" s="184"/>
      <c r="R628" s="184"/>
      <c r="S628" s="183"/>
      <c r="T628" s="183"/>
    </row>
    <row r="629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4"/>
      <c r="O629" s="184"/>
      <c r="P629" s="184"/>
      <c r="Q629" s="184"/>
      <c r="R629" s="184"/>
      <c r="S629" s="183"/>
      <c r="T629" s="183"/>
    </row>
    <row r="630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4"/>
      <c r="O630" s="184"/>
      <c r="P630" s="184"/>
      <c r="Q630" s="184"/>
      <c r="R630" s="184"/>
      <c r="S630" s="183"/>
      <c r="T630" s="183"/>
    </row>
    <row r="63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4"/>
      <c r="O631" s="184"/>
      <c r="P631" s="184"/>
      <c r="Q631" s="184"/>
      <c r="R631" s="184"/>
      <c r="S631" s="183"/>
      <c r="T631" s="183"/>
    </row>
    <row r="632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4"/>
      <c r="O632" s="184"/>
      <c r="P632" s="184"/>
      <c r="Q632" s="184"/>
      <c r="R632" s="184"/>
      <c r="S632" s="183"/>
      <c r="T632" s="183"/>
    </row>
    <row r="633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4"/>
      <c r="O633" s="184"/>
      <c r="P633" s="184"/>
      <c r="Q633" s="184"/>
      <c r="R633" s="184"/>
      <c r="S633" s="183"/>
      <c r="T633" s="183"/>
    </row>
    <row r="634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4"/>
      <c r="O634" s="184"/>
      <c r="P634" s="184"/>
      <c r="Q634" s="184"/>
      <c r="R634" s="184"/>
      <c r="S634" s="183"/>
      <c r="T634" s="183"/>
    </row>
    <row r="635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4"/>
      <c r="O635" s="184"/>
      <c r="P635" s="184"/>
      <c r="Q635" s="184"/>
      <c r="R635" s="184"/>
      <c r="S635" s="183"/>
      <c r="T635" s="183"/>
    </row>
    <row r="636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4"/>
      <c r="O636" s="184"/>
      <c r="P636" s="184"/>
      <c r="Q636" s="184"/>
      <c r="R636" s="184"/>
      <c r="S636" s="183"/>
      <c r="T636" s="183"/>
    </row>
    <row r="637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4"/>
      <c r="O637" s="184"/>
      <c r="P637" s="184"/>
      <c r="Q637" s="184"/>
      <c r="R637" s="184"/>
      <c r="S637" s="183"/>
      <c r="T637" s="183"/>
    </row>
    <row r="638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4"/>
      <c r="O638" s="184"/>
      <c r="P638" s="184"/>
      <c r="Q638" s="184"/>
      <c r="R638" s="184"/>
      <c r="S638" s="183"/>
      <c r="T638" s="183"/>
    </row>
    <row r="639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4"/>
      <c r="O639" s="184"/>
      <c r="P639" s="184"/>
      <c r="Q639" s="184"/>
      <c r="R639" s="184"/>
      <c r="S639" s="183"/>
      <c r="T639" s="183"/>
    </row>
    <row r="640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4"/>
      <c r="O640" s="184"/>
      <c r="P640" s="184"/>
      <c r="Q640" s="184"/>
      <c r="R640" s="184"/>
      <c r="S640" s="183"/>
      <c r="T640" s="183"/>
    </row>
    <row r="64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4"/>
      <c r="O641" s="184"/>
      <c r="P641" s="184"/>
      <c r="Q641" s="184"/>
      <c r="R641" s="184"/>
      <c r="S641" s="183"/>
      <c r="T641" s="183"/>
    </row>
    <row r="642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4"/>
      <c r="O642" s="184"/>
      <c r="P642" s="184"/>
      <c r="Q642" s="184"/>
      <c r="R642" s="184"/>
      <c r="S642" s="183"/>
      <c r="T642" s="183"/>
    </row>
    <row r="643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4"/>
      <c r="O643" s="184"/>
      <c r="P643" s="184"/>
      <c r="Q643" s="184"/>
      <c r="R643" s="184"/>
      <c r="S643" s="183"/>
      <c r="T643" s="183"/>
    </row>
    <row r="644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4"/>
      <c r="O644" s="184"/>
      <c r="P644" s="184"/>
      <c r="Q644" s="184"/>
      <c r="R644" s="184"/>
      <c r="S644" s="183"/>
      <c r="T644" s="183"/>
    </row>
    <row r="645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4"/>
      <c r="O645" s="184"/>
      <c r="P645" s="184"/>
      <c r="Q645" s="184"/>
      <c r="R645" s="184"/>
      <c r="S645" s="183"/>
      <c r="T645" s="183"/>
    </row>
    <row r="646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4"/>
      <c r="O646" s="184"/>
      <c r="P646" s="184"/>
      <c r="Q646" s="184"/>
      <c r="R646" s="184"/>
      <c r="S646" s="183"/>
      <c r="T646" s="183"/>
    </row>
    <row r="647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4"/>
      <c r="O647" s="184"/>
      <c r="P647" s="184"/>
      <c r="Q647" s="184"/>
      <c r="R647" s="184"/>
      <c r="S647" s="183"/>
      <c r="T647" s="183"/>
    </row>
    <row r="648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4"/>
      <c r="O648" s="184"/>
      <c r="P648" s="184"/>
      <c r="Q648" s="184"/>
      <c r="R648" s="184"/>
      <c r="S648" s="183"/>
      <c r="T648" s="183"/>
    </row>
    <row r="649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4"/>
      <c r="O649" s="184"/>
      <c r="P649" s="184"/>
      <c r="Q649" s="184"/>
      <c r="R649" s="184"/>
      <c r="S649" s="183"/>
      <c r="T649" s="183"/>
    </row>
    <row r="650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4"/>
      <c r="O650" s="184"/>
      <c r="P650" s="184"/>
      <c r="Q650" s="184"/>
      <c r="R650" s="184"/>
      <c r="S650" s="183"/>
      <c r="T650" s="183"/>
    </row>
    <row r="65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4"/>
      <c r="O651" s="184"/>
      <c r="P651" s="184"/>
      <c r="Q651" s="184"/>
      <c r="R651" s="184"/>
      <c r="S651" s="183"/>
      <c r="T651" s="183"/>
    </row>
    <row r="652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4"/>
      <c r="O652" s="184"/>
      <c r="P652" s="184"/>
      <c r="Q652" s="184"/>
      <c r="R652" s="184"/>
      <c r="S652" s="183"/>
      <c r="T652" s="183"/>
    </row>
    <row r="653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4"/>
      <c r="O653" s="184"/>
      <c r="P653" s="184"/>
      <c r="Q653" s="184"/>
      <c r="R653" s="184"/>
      <c r="S653" s="183"/>
      <c r="T653" s="183"/>
    </row>
    <row r="654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4"/>
      <c r="O654" s="184"/>
      <c r="P654" s="184"/>
      <c r="Q654" s="184"/>
      <c r="R654" s="184"/>
      <c r="S654" s="183"/>
      <c r="T654" s="183"/>
    </row>
    <row r="655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4"/>
      <c r="O655" s="184"/>
      <c r="P655" s="184"/>
      <c r="Q655" s="184"/>
      <c r="R655" s="184"/>
      <c r="S655" s="183"/>
      <c r="T655" s="183"/>
    </row>
    <row r="656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4"/>
      <c r="O656" s="184"/>
      <c r="P656" s="184"/>
      <c r="Q656" s="184"/>
      <c r="R656" s="184"/>
      <c r="S656" s="183"/>
      <c r="T656" s="183"/>
    </row>
    <row r="657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4"/>
      <c r="O657" s="184"/>
      <c r="P657" s="184"/>
      <c r="Q657" s="184"/>
      <c r="R657" s="184"/>
      <c r="S657" s="183"/>
      <c r="T657" s="183"/>
    </row>
    <row r="658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4"/>
      <c r="O658" s="184"/>
      <c r="P658" s="184"/>
      <c r="Q658" s="184"/>
      <c r="R658" s="184"/>
      <c r="S658" s="183"/>
      <c r="T658" s="183"/>
    </row>
    <row r="659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4"/>
      <c r="O659" s="184"/>
      <c r="P659" s="184"/>
      <c r="Q659" s="184"/>
      <c r="R659" s="184"/>
      <c r="S659" s="183"/>
      <c r="T659" s="183"/>
    </row>
    <row r="660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4"/>
      <c r="O660" s="184"/>
      <c r="P660" s="184"/>
      <c r="Q660" s="184"/>
      <c r="R660" s="184"/>
      <c r="S660" s="183"/>
      <c r="T660" s="183"/>
    </row>
    <row r="66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4"/>
      <c r="O661" s="184"/>
      <c r="P661" s="184"/>
      <c r="Q661" s="184"/>
      <c r="R661" s="184"/>
      <c r="S661" s="183"/>
      <c r="T661" s="183"/>
    </row>
    <row r="662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4"/>
      <c r="O662" s="184"/>
      <c r="P662" s="184"/>
      <c r="Q662" s="184"/>
      <c r="R662" s="184"/>
      <c r="S662" s="183"/>
      <c r="T662" s="183"/>
    </row>
    <row r="663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4"/>
      <c r="O663" s="184"/>
      <c r="P663" s="184"/>
      <c r="Q663" s="184"/>
      <c r="R663" s="184"/>
      <c r="S663" s="183"/>
      <c r="T663" s="183"/>
    </row>
    <row r="664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4"/>
      <c r="O664" s="184"/>
      <c r="P664" s="184"/>
      <c r="Q664" s="184"/>
      <c r="R664" s="184"/>
      <c r="S664" s="183"/>
      <c r="T664" s="183"/>
    </row>
    <row r="665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4"/>
      <c r="O665" s="184"/>
      <c r="P665" s="184"/>
      <c r="Q665" s="184"/>
      <c r="R665" s="184"/>
      <c r="S665" s="183"/>
      <c r="T665" s="183"/>
    </row>
    <row r="666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4"/>
      <c r="O666" s="184"/>
      <c r="P666" s="184"/>
      <c r="Q666" s="184"/>
      <c r="R666" s="184"/>
      <c r="S666" s="183"/>
      <c r="T666" s="183"/>
    </row>
    <row r="667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4"/>
      <c r="O667" s="184"/>
      <c r="P667" s="184"/>
      <c r="Q667" s="184"/>
      <c r="R667" s="184"/>
      <c r="S667" s="183"/>
      <c r="T667" s="183"/>
    </row>
    <row r="668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4"/>
      <c r="O668" s="184"/>
      <c r="P668" s="184"/>
      <c r="Q668" s="184"/>
      <c r="R668" s="184"/>
      <c r="S668" s="183"/>
      <c r="T668" s="183"/>
    </row>
    <row r="669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4"/>
      <c r="O669" s="184"/>
      <c r="P669" s="184"/>
      <c r="Q669" s="184"/>
      <c r="R669" s="184"/>
      <c r="S669" s="183"/>
      <c r="T669" s="183"/>
    </row>
    <row r="670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4"/>
      <c r="O670" s="184"/>
      <c r="P670" s="184"/>
      <c r="Q670" s="184"/>
      <c r="R670" s="184"/>
      <c r="S670" s="183"/>
      <c r="T670" s="183"/>
    </row>
    <row r="67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4"/>
      <c r="O671" s="184"/>
      <c r="P671" s="184"/>
      <c r="Q671" s="184"/>
      <c r="R671" s="184"/>
      <c r="S671" s="183"/>
      <c r="T671" s="183"/>
    </row>
    <row r="672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4"/>
      <c r="O672" s="184"/>
      <c r="P672" s="184"/>
      <c r="Q672" s="184"/>
      <c r="R672" s="184"/>
      <c r="S672" s="183"/>
      <c r="T672" s="183"/>
    </row>
    <row r="673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4"/>
      <c r="O673" s="184"/>
      <c r="P673" s="184"/>
      <c r="Q673" s="184"/>
      <c r="R673" s="184"/>
      <c r="S673" s="183"/>
      <c r="T673" s="183"/>
    </row>
    <row r="674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4"/>
      <c r="O674" s="184"/>
      <c r="P674" s="184"/>
      <c r="Q674" s="184"/>
      <c r="R674" s="184"/>
      <c r="S674" s="183"/>
      <c r="T674" s="183"/>
    </row>
    <row r="675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4"/>
      <c r="O675" s="184"/>
      <c r="P675" s="184"/>
      <c r="Q675" s="184"/>
      <c r="R675" s="184"/>
      <c r="S675" s="183"/>
      <c r="T675" s="183"/>
    </row>
    <row r="676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4"/>
      <c r="O676" s="184"/>
      <c r="P676" s="184"/>
      <c r="Q676" s="184"/>
      <c r="R676" s="184"/>
      <c r="S676" s="183"/>
      <c r="T676" s="183"/>
    </row>
    <row r="677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4"/>
      <c r="O677" s="184"/>
      <c r="P677" s="184"/>
      <c r="Q677" s="184"/>
      <c r="R677" s="184"/>
      <c r="S677" s="183"/>
      <c r="T677" s="183"/>
    </row>
    <row r="678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4"/>
      <c r="O678" s="184"/>
      <c r="P678" s="184"/>
      <c r="Q678" s="184"/>
      <c r="R678" s="184"/>
      <c r="S678" s="183"/>
      <c r="T678" s="183"/>
    </row>
    <row r="679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4"/>
      <c r="O679" s="184"/>
      <c r="P679" s="184"/>
      <c r="Q679" s="184"/>
      <c r="R679" s="184"/>
      <c r="S679" s="183"/>
      <c r="T679" s="183"/>
    </row>
    <row r="680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4"/>
      <c r="O680" s="184"/>
      <c r="P680" s="184"/>
      <c r="Q680" s="184"/>
      <c r="R680" s="184"/>
      <c r="S680" s="183"/>
      <c r="T680" s="183"/>
    </row>
    <row r="68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4"/>
      <c r="O681" s="184"/>
      <c r="P681" s="184"/>
      <c r="Q681" s="184"/>
      <c r="R681" s="184"/>
      <c r="S681" s="183"/>
      <c r="T681" s="183"/>
    </row>
    <row r="682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4"/>
      <c r="O682" s="184"/>
      <c r="P682" s="184"/>
      <c r="Q682" s="184"/>
      <c r="R682" s="184"/>
      <c r="S682" s="183"/>
      <c r="T682" s="183"/>
    </row>
    <row r="683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4"/>
      <c r="O683" s="184"/>
      <c r="P683" s="184"/>
      <c r="Q683" s="184"/>
      <c r="R683" s="184"/>
      <c r="S683" s="183"/>
      <c r="T683" s="183"/>
    </row>
    <row r="684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4"/>
      <c r="O684" s="184"/>
      <c r="P684" s="184"/>
      <c r="Q684" s="184"/>
      <c r="R684" s="184"/>
      <c r="S684" s="183"/>
      <c r="T684" s="183"/>
    </row>
    <row r="685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4"/>
      <c r="O685" s="184"/>
      <c r="P685" s="184"/>
      <c r="Q685" s="184"/>
      <c r="R685" s="184"/>
      <c r="S685" s="183"/>
      <c r="T685" s="183"/>
    </row>
    <row r="686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4"/>
      <c r="O686" s="184"/>
      <c r="P686" s="184"/>
      <c r="Q686" s="184"/>
      <c r="R686" s="184"/>
      <c r="S686" s="183"/>
      <c r="T686" s="183"/>
    </row>
    <row r="687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4"/>
      <c r="O687" s="184"/>
      <c r="P687" s="184"/>
      <c r="Q687" s="184"/>
      <c r="R687" s="184"/>
      <c r="S687" s="183"/>
      <c r="T687" s="183"/>
    </row>
    <row r="688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4"/>
      <c r="O688" s="184"/>
      <c r="P688" s="184"/>
      <c r="Q688" s="184"/>
      <c r="R688" s="184"/>
      <c r="S688" s="183"/>
      <c r="T688" s="183"/>
    </row>
    <row r="689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4"/>
      <c r="O689" s="184"/>
      <c r="P689" s="184"/>
      <c r="Q689" s="184"/>
      <c r="R689" s="184"/>
      <c r="S689" s="183"/>
      <c r="T689" s="183"/>
    </row>
    <row r="690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4"/>
      <c r="O690" s="184"/>
      <c r="P690" s="184"/>
      <c r="Q690" s="184"/>
      <c r="R690" s="184"/>
      <c r="S690" s="183"/>
      <c r="T690" s="183"/>
    </row>
    <row r="69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4"/>
      <c r="O691" s="184"/>
      <c r="P691" s="184"/>
      <c r="Q691" s="184"/>
      <c r="R691" s="184"/>
      <c r="S691" s="183"/>
      <c r="T691" s="183"/>
    </row>
    <row r="692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4"/>
      <c r="O692" s="184"/>
      <c r="P692" s="184"/>
      <c r="Q692" s="184"/>
      <c r="R692" s="184"/>
      <c r="S692" s="183"/>
      <c r="T692" s="183"/>
    </row>
    <row r="693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4"/>
      <c r="O693" s="184"/>
      <c r="P693" s="184"/>
      <c r="Q693" s="184"/>
      <c r="R693" s="184"/>
      <c r="S693" s="183"/>
      <c r="T693" s="183"/>
    </row>
    <row r="694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4"/>
      <c r="O694" s="184"/>
      <c r="P694" s="184"/>
      <c r="Q694" s="184"/>
      <c r="R694" s="184"/>
      <c r="S694" s="183"/>
      <c r="T694" s="183"/>
    </row>
    <row r="695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4"/>
      <c r="O695" s="184"/>
      <c r="P695" s="184"/>
      <c r="Q695" s="184"/>
      <c r="R695" s="184"/>
      <c r="S695" s="183"/>
      <c r="T695" s="183"/>
    </row>
    <row r="696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4"/>
      <c r="O696" s="184"/>
      <c r="P696" s="184"/>
      <c r="Q696" s="184"/>
      <c r="R696" s="184"/>
      <c r="S696" s="183"/>
      <c r="T696" s="183"/>
    </row>
    <row r="697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4"/>
      <c r="O697" s="184"/>
      <c r="P697" s="184"/>
      <c r="Q697" s="184"/>
      <c r="R697" s="184"/>
      <c r="S697" s="183"/>
      <c r="T697" s="183"/>
    </row>
    <row r="698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4"/>
      <c r="O698" s="184"/>
      <c r="P698" s="184"/>
      <c r="Q698" s="184"/>
      <c r="R698" s="184"/>
      <c r="S698" s="183"/>
      <c r="T698" s="183"/>
    </row>
    <row r="699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4"/>
      <c r="O699" s="184"/>
      <c r="P699" s="184"/>
      <c r="Q699" s="184"/>
      <c r="R699" s="184"/>
      <c r="S699" s="183"/>
      <c r="T699" s="183"/>
    </row>
    <row r="700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4"/>
      <c r="O700" s="184"/>
      <c r="P700" s="184"/>
      <c r="Q700" s="184"/>
      <c r="R700" s="184"/>
      <c r="S700" s="183"/>
      <c r="T700" s="183"/>
    </row>
    <row r="70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4"/>
      <c r="O701" s="184"/>
      <c r="P701" s="184"/>
      <c r="Q701" s="184"/>
      <c r="R701" s="184"/>
      <c r="S701" s="183"/>
      <c r="T701" s="183"/>
    </row>
    <row r="702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4"/>
      <c r="O702" s="184"/>
      <c r="P702" s="184"/>
      <c r="Q702" s="184"/>
      <c r="R702" s="184"/>
      <c r="S702" s="183"/>
      <c r="T702" s="183"/>
    </row>
    <row r="703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4"/>
      <c r="O703" s="184"/>
      <c r="P703" s="184"/>
      <c r="Q703" s="184"/>
      <c r="R703" s="184"/>
      <c r="S703" s="183"/>
      <c r="T703" s="183"/>
    </row>
    <row r="704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4"/>
      <c r="O704" s="184"/>
      <c r="P704" s="184"/>
      <c r="Q704" s="184"/>
      <c r="R704" s="184"/>
      <c r="S704" s="183"/>
      <c r="T704" s="183"/>
    </row>
    <row r="705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4"/>
      <c r="O705" s="184"/>
      <c r="P705" s="184"/>
      <c r="Q705" s="184"/>
      <c r="R705" s="184"/>
      <c r="S705" s="183"/>
      <c r="T705" s="183"/>
    </row>
    <row r="706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4"/>
      <c r="O706" s="184"/>
      <c r="P706" s="184"/>
      <c r="Q706" s="184"/>
      <c r="R706" s="184"/>
      <c r="S706" s="183"/>
      <c r="T706" s="183"/>
    </row>
    <row r="707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4"/>
      <c r="O707" s="184"/>
      <c r="P707" s="184"/>
      <c r="Q707" s="184"/>
      <c r="R707" s="184"/>
      <c r="S707" s="183"/>
      <c r="T707" s="183"/>
    </row>
    <row r="708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4"/>
      <c r="O708" s="184"/>
      <c r="P708" s="184"/>
      <c r="Q708" s="184"/>
      <c r="R708" s="184"/>
      <c r="S708" s="183"/>
      <c r="T708" s="183"/>
    </row>
    <row r="709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4"/>
      <c r="O709" s="184"/>
      <c r="P709" s="184"/>
      <c r="Q709" s="184"/>
      <c r="R709" s="184"/>
      <c r="S709" s="183"/>
      <c r="T709" s="183"/>
    </row>
    <row r="710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4"/>
      <c r="O710" s="184"/>
      <c r="P710" s="184"/>
      <c r="Q710" s="184"/>
      <c r="R710" s="184"/>
      <c r="S710" s="183"/>
      <c r="T710" s="183"/>
    </row>
    <row r="71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4"/>
      <c r="O711" s="184"/>
      <c r="P711" s="184"/>
      <c r="Q711" s="184"/>
      <c r="R711" s="184"/>
      <c r="S711" s="183"/>
      <c r="T711" s="183"/>
    </row>
    <row r="712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4"/>
      <c r="O712" s="184"/>
      <c r="P712" s="184"/>
      <c r="Q712" s="184"/>
      <c r="R712" s="184"/>
      <c r="S712" s="183"/>
      <c r="T712" s="183"/>
    </row>
    <row r="713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4"/>
      <c r="O713" s="184"/>
      <c r="P713" s="184"/>
      <c r="Q713" s="184"/>
      <c r="R713" s="184"/>
      <c r="S713" s="183"/>
      <c r="T713" s="183"/>
    </row>
    <row r="714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4"/>
      <c r="O714" s="184"/>
      <c r="P714" s="184"/>
      <c r="Q714" s="184"/>
      <c r="R714" s="184"/>
      <c r="S714" s="183"/>
      <c r="T714" s="183"/>
    </row>
    <row r="715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4"/>
      <c r="O715" s="184"/>
      <c r="P715" s="184"/>
      <c r="Q715" s="184"/>
      <c r="R715" s="184"/>
      <c r="S715" s="183"/>
      <c r="T715" s="183"/>
    </row>
    <row r="716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4"/>
      <c r="O716" s="184"/>
      <c r="P716" s="184"/>
      <c r="Q716" s="184"/>
      <c r="R716" s="184"/>
      <c r="S716" s="183"/>
      <c r="T716" s="183"/>
    </row>
    <row r="717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4"/>
      <c r="O717" s="184"/>
      <c r="P717" s="184"/>
      <c r="Q717" s="184"/>
      <c r="R717" s="184"/>
      <c r="S717" s="183"/>
      <c r="T717" s="183"/>
    </row>
    <row r="718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4"/>
      <c r="O718" s="184"/>
      <c r="P718" s="184"/>
      <c r="Q718" s="184"/>
      <c r="R718" s="184"/>
      <c r="S718" s="183"/>
      <c r="T718" s="183"/>
    </row>
    <row r="719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4"/>
      <c r="O719" s="184"/>
      <c r="P719" s="184"/>
      <c r="Q719" s="184"/>
      <c r="R719" s="184"/>
      <c r="S719" s="183"/>
      <c r="T719" s="183"/>
    </row>
    <row r="720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4"/>
      <c r="O720" s="184"/>
      <c r="P720" s="184"/>
      <c r="Q720" s="184"/>
      <c r="R720" s="184"/>
      <c r="S720" s="183"/>
      <c r="T720" s="183"/>
    </row>
    <row r="72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4"/>
      <c r="O721" s="184"/>
      <c r="P721" s="184"/>
      <c r="Q721" s="184"/>
      <c r="R721" s="184"/>
      <c r="S721" s="183"/>
      <c r="T721" s="183"/>
    </row>
    <row r="722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4"/>
      <c r="O722" s="184"/>
      <c r="P722" s="184"/>
      <c r="Q722" s="184"/>
      <c r="R722" s="184"/>
      <c r="S722" s="183"/>
      <c r="T722" s="183"/>
    </row>
    <row r="723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4"/>
      <c r="O723" s="184"/>
      <c r="P723" s="184"/>
      <c r="Q723" s="184"/>
      <c r="R723" s="184"/>
      <c r="S723" s="183"/>
      <c r="T723" s="183"/>
    </row>
    <row r="724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4"/>
      <c r="O724" s="184"/>
      <c r="P724" s="184"/>
      <c r="Q724" s="184"/>
      <c r="R724" s="184"/>
      <c r="S724" s="183"/>
      <c r="T724" s="183"/>
    </row>
    <row r="725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4"/>
      <c r="O725" s="184"/>
      <c r="P725" s="184"/>
      <c r="Q725" s="184"/>
      <c r="R725" s="184"/>
      <c r="S725" s="183"/>
      <c r="T725" s="183"/>
    </row>
    <row r="726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4"/>
      <c r="O726" s="184"/>
      <c r="P726" s="184"/>
      <c r="Q726" s="184"/>
      <c r="R726" s="184"/>
      <c r="S726" s="183"/>
      <c r="T726" s="183"/>
    </row>
    <row r="727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4"/>
      <c r="O727" s="184"/>
      <c r="P727" s="184"/>
      <c r="Q727" s="184"/>
      <c r="R727" s="184"/>
      <c r="S727" s="183"/>
      <c r="T727" s="183"/>
    </row>
    <row r="728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4"/>
      <c r="O728" s="184"/>
      <c r="P728" s="184"/>
      <c r="Q728" s="184"/>
      <c r="R728" s="184"/>
      <c r="S728" s="183"/>
      <c r="T728" s="183"/>
    </row>
    <row r="729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4"/>
      <c r="O729" s="184"/>
      <c r="P729" s="184"/>
      <c r="Q729" s="184"/>
      <c r="R729" s="184"/>
      <c r="S729" s="183"/>
      <c r="T729" s="183"/>
    </row>
    <row r="730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4"/>
      <c r="O730" s="184"/>
      <c r="P730" s="184"/>
      <c r="Q730" s="184"/>
      <c r="R730" s="184"/>
      <c r="S730" s="183"/>
      <c r="T730" s="183"/>
    </row>
    <row r="73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4"/>
      <c r="O731" s="184"/>
      <c r="P731" s="184"/>
      <c r="Q731" s="184"/>
      <c r="R731" s="184"/>
      <c r="S731" s="183"/>
      <c r="T731" s="183"/>
    </row>
    <row r="732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4"/>
      <c r="O732" s="184"/>
      <c r="P732" s="184"/>
      <c r="Q732" s="184"/>
      <c r="R732" s="184"/>
      <c r="S732" s="183"/>
      <c r="T732" s="183"/>
    </row>
    <row r="733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4"/>
      <c r="O733" s="184"/>
      <c r="P733" s="184"/>
      <c r="Q733" s="184"/>
      <c r="R733" s="184"/>
      <c r="S733" s="183"/>
      <c r="T733" s="183"/>
    </row>
    <row r="734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4"/>
      <c r="O734" s="184"/>
      <c r="P734" s="184"/>
      <c r="Q734" s="184"/>
      <c r="R734" s="184"/>
      <c r="S734" s="183"/>
      <c r="T734" s="183"/>
    </row>
    <row r="735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4"/>
      <c r="O735" s="184"/>
      <c r="P735" s="184"/>
      <c r="Q735" s="184"/>
      <c r="R735" s="184"/>
      <c r="S735" s="183"/>
      <c r="T735" s="183"/>
    </row>
    <row r="736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4"/>
      <c r="O736" s="184"/>
      <c r="P736" s="184"/>
      <c r="Q736" s="184"/>
      <c r="R736" s="184"/>
      <c r="S736" s="183"/>
      <c r="T736" s="183"/>
    </row>
    <row r="737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4"/>
      <c r="O737" s="184"/>
      <c r="P737" s="184"/>
      <c r="Q737" s="184"/>
      <c r="R737" s="184"/>
      <c r="S737" s="183"/>
      <c r="T737" s="183"/>
    </row>
    <row r="738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4"/>
      <c r="O738" s="184"/>
      <c r="P738" s="184"/>
      <c r="Q738" s="184"/>
      <c r="R738" s="184"/>
      <c r="S738" s="183"/>
      <c r="T738" s="183"/>
    </row>
    <row r="739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4"/>
      <c r="O739" s="184"/>
      <c r="P739" s="184"/>
      <c r="Q739" s="184"/>
      <c r="R739" s="184"/>
      <c r="S739" s="183"/>
      <c r="T739" s="183"/>
    </row>
    <row r="740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4"/>
      <c r="O740" s="184"/>
      <c r="P740" s="184"/>
      <c r="Q740" s="184"/>
      <c r="R740" s="184"/>
      <c r="S740" s="183"/>
      <c r="T740" s="183"/>
    </row>
    <row r="74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4"/>
      <c r="O741" s="184"/>
      <c r="P741" s="184"/>
      <c r="Q741" s="184"/>
      <c r="R741" s="184"/>
      <c r="S741" s="183"/>
      <c r="T741" s="183"/>
    </row>
    <row r="742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4"/>
      <c r="O742" s="184"/>
      <c r="P742" s="184"/>
      <c r="Q742" s="184"/>
      <c r="R742" s="184"/>
      <c r="S742" s="183"/>
      <c r="T742" s="183"/>
    </row>
    <row r="743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4"/>
      <c r="O743" s="184"/>
      <c r="P743" s="184"/>
      <c r="Q743" s="184"/>
      <c r="R743" s="184"/>
      <c r="S743" s="183"/>
      <c r="T743" s="183"/>
    </row>
    <row r="744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4"/>
      <c r="O744" s="184"/>
      <c r="P744" s="184"/>
      <c r="Q744" s="184"/>
      <c r="R744" s="184"/>
      <c r="S744" s="183"/>
      <c r="T744" s="183"/>
    </row>
    <row r="745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4"/>
      <c r="O745" s="184"/>
      <c r="P745" s="184"/>
      <c r="Q745" s="184"/>
      <c r="R745" s="184"/>
      <c r="S745" s="183"/>
      <c r="T745" s="183"/>
    </row>
    <row r="746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4"/>
      <c r="O746" s="184"/>
      <c r="P746" s="184"/>
      <c r="Q746" s="184"/>
      <c r="R746" s="184"/>
      <c r="S746" s="183"/>
      <c r="T746" s="183"/>
    </row>
    <row r="747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4"/>
      <c r="O747" s="184"/>
      <c r="P747" s="184"/>
      <c r="Q747" s="184"/>
      <c r="R747" s="184"/>
      <c r="S747" s="183"/>
      <c r="T747" s="183"/>
    </row>
    <row r="748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4"/>
      <c r="O748" s="184"/>
      <c r="P748" s="184"/>
      <c r="Q748" s="184"/>
      <c r="R748" s="184"/>
      <c r="S748" s="183"/>
      <c r="T748" s="183"/>
    </row>
    <row r="749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4"/>
      <c r="O749" s="184"/>
      <c r="P749" s="184"/>
      <c r="Q749" s="184"/>
      <c r="R749" s="184"/>
      <c r="S749" s="183"/>
      <c r="T749" s="183"/>
    </row>
    <row r="750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4"/>
      <c r="O750" s="184"/>
      <c r="P750" s="184"/>
      <c r="Q750" s="184"/>
      <c r="R750" s="184"/>
      <c r="S750" s="183"/>
      <c r="T750" s="183"/>
    </row>
    <row r="75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4"/>
      <c r="O751" s="184"/>
      <c r="P751" s="184"/>
      <c r="Q751" s="184"/>
      <c r="R751" s="184"/>
      <c r="S751" s="183"/>
      <c r="T751" s="183"/>
    </row>
    <row r="752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4"/>
      <c r="O752" s="184"/>
      <c r="P752" s="184"/>
      <c r="Q752" s="184"/>
      <c r="R752" s="184"/>
      <c r="S752" s="183"/>
      <c r="T752" s="183"/>
    </row>
    <row r="753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4"/>
      <c r="O753" s="184"/>
      <c r="P753" s="184"/>
      <c r="Q753" s="184"/>
      <c r="R753" s="184"/>
      <c r="S753" s="183"/>
      <c r="T753" s="183"/>
    </row>
    <row r="754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4"/>
      <c r="O754" s="184"/>
      <c r="P754" s="184"/>
      <c r="Q754" s="184"/>
      <c r="R754" s="184"/>
      <c r="S754" s="183"/>
      <c r="T754" s="183"/>
    </row>
    <row r="755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4"/>
      <c r="O755" s="184"/>
      <c r="P755" s="184"/>
      <c r="Q755" s="184"/>
      <c r="R755" s="184"/>
      <c r="S755" s="183"/>
      <c r="T755" s="183"/>
    </row>
    <row r="756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4"/>
      <c r="O756" s="184"/>
      <c r="P756" s="184"/>
      <c r="Q756" s="184"/>
      <c r="R756" s="184"/>
      <c r="S756" s="183"/>
      <c r="T756" s="183"/>
    </row>
    <row r="757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4"/>
      <c r="O757" s="184"/>
      <c r="P757" s="184"/>
      <c r="Q757" s="184"/>
      <c r="R757" s="184"/>
      <c r="S757" s="183"/>
      <c r="T757" s="183"/>
    </row>
    <row r="758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4"/>
      <c r="O758" s="184"/>
      <c r="P758" s="184"/>
      <c r="Q758" s="184"/>
      <c r="R758" s="184"/>
      <c r="S758" s="183"/>
      <c r="T758" s="183"/>
    </row>
    <row r="759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4"/>
      <c r="O759" s="184"/>
      <c r="P759" s="184"/>
      <c r="Q759" s="184"/>
      <c r="R759" s="184"/>
      <c r="S759" s="183"/>
      <c r="T759" s="183"/>
    </row>
    <row r="760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4"/>
      <c r="O760" s="184"/>
      <c r="P760" s="184"/>
      <c r="Q760" s="184"/>
      <c r="R760" s="184"/>
      <c r="S760" s="183"/>
      <c r="T760" s="183"/>
    </row>
    <row r="76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4"/>
      <c r="O761" s="184"/>
      <c r="P761" s="184"/>
      <c r="Q761" s="184"/>
      <c r="R761" s="184"/>
      <c r="S761" s="183"/>
      <c r="T761" s="183"/>
    </row>
    <row r="762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4"/>
      <c r="O762" s="184"/>
      <c r="P762" s="184"/>
      <c r="Q762" s="184"/>
      <c r="R762" s="184"/>
      <c r="S762" s="183"/>
      <c r="T762" s="183"/>
    </row>
    <row r="763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4"/>
      <c r="O763" s="184"/>
      <c r="P763" s="184"/>
      <c r="Q763" s="184"/>
      <c r="R763" s="184"/>
      <c r="S763" s="183"/>
      <c r="T763" s="183"/>
    </row>
    <row r="764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4"/>
      <c r="O764" s="184"/>
      <c r="P764" s="184"/>
      <c r="Q764" s="184"/>
      <c r="R764" s="184"/>
      <c r="S764" s="183"/>
      <c r="T764" s="183"/>
    </row>
    <row r="765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4"/>
      <c r="O765" s="184"/>
      <c r="P765" s="184"/>
      <c r="Q765" s="184"/>
      <c r="R765" s="184"/>
      <c r="S765" s="183"/>
      <c r="T765" s="183"/>
    </row>
    <row r="766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4"/>
      <c r="O766" s="184"/>
      <c r="P766" s="184"/>
      <c r="Q766" s="184"/>
      <c r="R766" s="184"/>
      <c r="S766" s="183"/>
      <c r="T766" s="183"/>
    </row>
    <row r="767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4"/>
      <c r="O767" s="184"/>
      <c r="P767" s="184"/>
      <c r="Q767" s="184"/>
      <c r="R767" s="184"/>
      <c r="S767" s="183"/>
      <c r="T767" s="183"/>
    </row>
    <row r="768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4"/>
      <c r="O768" s="184"/>
      <c r="P768" s="184"/>
      <c r="Q768" s="184"/>
      <c r="R768" s="184"/>
      <c r="S768" s="183"/>
      <c r="T768" s="183"/>
    </row>
    <row r="769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4"/>
      <c r="O769" s="184"/>
      <c r="P769" s="184"/>
      <c r="Q769" s="184"/>
      <c r="R769" s="184"/>
      <c r="S769" s="183"/>
      <c r="T769" s="183"/>
    </row>
    <row r="770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4"/>
      <c r="O770" s="184"/>
      <c r="P770" s="184"/>
      <c r="Q770" s="184"/>
      <c r="R770" s="184"/>
      <c r="S770" s="183"/>
      <c r="T770" s="183"/>
    </row>
    <row r="77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4"/>
      <c r="O771" s="184"/>
      <c r="P771" s="184"/>
      <c r="Q771" s="184"/>
      <c r="R771" s="184"/>
      <c r="S771" s="183"/>
      <c r="T771" s="183"/>
    </row>
    <row r="772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4"/>
      <c r="O772" s="184"/>
      <c r="P772" s="184"/>
      <c r="Q772" s="184"/>
      <c r="R772" s="184"/>
      <c r="S772" s="183"/>
      <c r="T772" s="183"/>
    </row>
    <row r="773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4"/>
      <c r="O773" s="184"/>
      <c r="P773" s="184"/>
      <c r="Q773" s="184"/>
      <c r="R773" s="184"/>
      <c r="S773" s="183"/>
      <c r="T773" s="183"/>
    </row>
    <row r="774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4"/>
      <c r="O774" s="184"/>
      <c r="P774" s="184"/>
      <c r="Q774" s="184"/>
      <c r="R774" s="184"/>
      <c r="S774" s="183"/>
      <c r="T774" s="183"/>
    </row>
    <row r="775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4"/>
      <c r="O775" s="184"/>
      <c r="P775" s="184"/>
      <c r="Q775" s="184"/>
      <c r="R775" s="184"/>
      <c r="S775" s="183"/>
      <c r="T775" s="183"/>
    </row>
    <row r="776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4"/>
      <c r="O776" s="184"/>
      <c r="P776" s="184"/>
      <c r="Q776" s="184"/>
      <c r="R776" s="184"/>
      <c r="S776" s="183"/>
      <c r="T776" s="183"/>
    </row>
    <row r="777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4"/>
      <c r="O777" s="184"/>
      <c r="P777" s="184"/>
      <c r="Q777" s="184"/>
      <c r="R777" s="184"/>
      <c r="S777" s="183"/>
      <c r="T777" s="183"/>
    </row>
    <row r="778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4"/>
      <c r="O778" s="184"/>
      <c r="P778" s="184"/>
      <c r="Q778" s="184"/>
      <c r="R778" s="184"/>
      <c r="S778" s="183"/>
      <c r="T778" s="183"/>
    </row>
    <row r="779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4"/>
      <c r="O779" s="184"/>
      <c r="P779" s="184"/>
      <c r="Q779" s="184"/>
      <c r="R779" s="184"/>
      <c r="S779" s="183"/>
      <c r="T779" s="183"/>
    </row>
    <row r="780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4"/>
      <c r="O780" s="184"/>
      <c r="P780" s="184"/>
      <c r="Q780" s="184"/>
      <c r="R780" s="184"/>
      <c r="S780" s="183"/>
      <c r="T780" s="183"/>
    </row>
    <row r="78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4"/>
      <c r="O781" s="184"/>
      <c r="P781" s="184"/>
      <c r="Q781" s="184"/>
      <c r="R781" s="184"/>
      <c r="S781" s="183"/>
      <c r="T781" s="183"/>
    </row>
    <row r="782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4"/>
      <c r="O782" s="184"/>
      <c r="P782" s="184"/>
      <c r="Q782" s="184"/>
      <c r="R782" s="184"/>
      <c r="S782" s="183"/>
      <c r="T782" s="183"/>
    </row>
    <row r="783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4"/>
      <c r="O783" s="184"/>
      <c r="P783" s="184"/>
      <c r="Q783" s="184"/>
      <c r="R783" s="184"/>
      <c r="S783" s="183"/>
      <c r="T783" s="183"/>
    </row>
    <row r="784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4"/>
      <c r="O784" s="184"/>
      <c r="P784" s="184"/>
      <c r="Q784" s="184"/>
      <c r="R784" s="184"/>
      <c r="S784" s="183"/>
      <c r="T784" s="183"/>
    </row>
    <row r="785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4"/>
      <c r="O785" s="184"/>
      <c r="P785" s="184"/>
      <c r="Q785" s="184"/>
      <c r="R785" s="184"/>
      <c r="S785" s="183"/>
      <c r="T785" s="183"/>
    </row>
    <row r="786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4"/>
      <c r="O786" s="184"/>
      <c r="P786" s="184"/>
      <c r="Q786" s="184"/>
      <c r="R786" s="184"/>
      <c r="S786" s="183"/>
      <c r="T786" s="183"/>
    </row>
    <row r="787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4"/>
      <c r="O787" s="184"/>
      <c r="P787" s="184"/>
      <c r="Q787" s="184"/>
      <c r="R787" s="184"/>
      <c r="S787" s="183"/>
      <c r="T787" s="183"/>
    </row>
    <row r="788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4"/>
      <c r="O788" s="184"/>
      <c r="P788" s="184"/>
      <c r="Q788" s="184"/>
      <c r="R788" s="184"/>
      <c r="S788" s="183"/>
      <c r="T788" s="183"/>
    </row>
    <row r="789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4"/>
      <c r="O789" s="184"/>
      <c r="P789" s="184"/>
      <c r="Q789" s="184"/>
      <c r="R789" s="184"/>
      <c r="S789" s="183"/>
      <c r="T789" s="183"/>
    </row>
    <row r="790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4"/>
      <c r="O790" s="184"/>
      <c r="P790" s="184"/>
      <c r="Q790" s="184"/>
      <c r="R790" s="184"/>
      <c r="S790" s="183"/>
      <c r="T790" s="183"/>
    </row>
    <row r="79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4"/>
      <c r="O791" s="184"/>
      <c r="P791" s="184"/>
      <c r="Q791" s="184"/>
      <c r="R791" s="184"/>
      <c r="S791" s="183"/>
      <c r="T791" s="183"/>
    </row>
    <row r="792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4"/>
      <c r="O792" s="184"/>
      <c r="P792" s="184"/>
      <c r="Q792" s="184"/>
      <c r="R792" s="184"/>
      <c r="S792" s="183"/>
      <c r="T792" s="183"/>
    </row>
    <row r="793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4"/>
      <c r="O793" s="184"/>
      <c r="P793" s="184"/>
      <c r="Q793" s="184"/>
      <c r="R793" s="184"/>
      <c r="S793" s="183"/>
      <c r="T793" s="183"/>
    </row>
    <row r="794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4"/>
      <c r="O794" s="184"/>
      <c r="P794" s="184"/>
      <c r="Q794" s="184"/>
      <c r="R794" s="184"/>
      <c r="S794" s="183"/>
      <c r="T794" s="183"/>
    </row>
    <row r="795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4"/>
      <c r="O795" s="184"/>
      <c r="P795" s="184"/>
      <c r="Q795" s="184"/>
      <c r="R795" s="184"/>
      <c r="S795" s="183"/>
      <c r="T795" s="183"/>
    </row>
    <row r="796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4"/>
      <c r="O796" s="184"/>
      <c r="P796" s="184"/>
      <c r="Q796" s="184"/>
      <c r="R796" s="184"/>
      <c r="S796" s="183"/>
      <c r="T796" s="183"/>
    </row>
    <row r="797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4"/>
      <c r="O797" s="184"/>
      <c r="P797" s="184"/>
      <c r="Q797" s="184"/>
      <c r="R797" s="184"/>
      <c r="S797" s="183"/>
      <c r="T797" s="183"/>
    </row>
    <row r="798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4"/>
      <c r="O798" s="184"/>
      <c r="P798" s="184"/>
      <c r="Q798" s="184"/>
      <c r="R798" s="184"/>
      <c r="S798" s="183"/>
      <c r="T798" s="183"/>
    </row>
    <row r="799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4"/>
      <c r="O799" s="184"/>
      <c r="P799" s="184"/>
      <c r="Q799" s="184"/>
      <c r="R799" s="184"/>
      <c r="S799" s="183"/>
      <c r="T799" s="183"/>
    </row>
    <row r="800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4"/>
      <c r="O800" s="184"/>
      <c r="P800" s="184"/>
      <c r="Q800" s="184"/>
      <c r="R800" s="184"/>
      <c r="S800" s="183"/>
      <c r="T800" s="183"/>
    </row>
    <row r="80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4"/>
      <c r="O801" s="184"/>
      <c r="P801" s="184"/>
      <c r="Q801" s="184"/>
      <c r="R801" s="184"/>
      <c r="S801" s="183"/>
      <c r="T801" s="183"/>
    </row>
    <row r="802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4"/>
      <c r="O802" s="184"/>
      <c r="P802" s="184"/>
      <c r="Q802" s="184"/>
      <c r="R802" s="184"/>
      <c r="S802" s="183"/>
      <c r="T802" s="183"/>
    </row>
    <row r="803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4"/>
      <c r="O803" s="184"/>
      <c r="P803" s="184"/>
      <c r="Q803" s="184"/>
      <c r="R803" s="184"/>
      <c r="S803" s="183"/>
      <c r="T803" s="183"/>
    </row>
    <row r="804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4"/>
      <c r="O804" s="184"/>
      <c r="P804" s="184"/>
      <c r="Q804" s="184"/>
      <c r="R804" s="184"/>
      <c r="S804" s="183"/>
      <c r="T804" s="183"/>
    </row>
    <row r="805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4"/>
      <c r="O805" s="184"/>
      <c r="P805" s="184"/>
      <c r="Q805" s="184"/>
      <c r="R805" s="184"/>
      <c r="S805" s="183"/>
      <c r="T805" s="183"/>
    </row>
    <row r="806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4"/>
      <c r="O806" s="184"/>
      <c r="P806" s="184"/>
      <c r="Q806" s="184"/>
      <c r="R806" s="184"/>
      <c r="S806" s="183"/>
      <c r="T806" s="183"/>
    </row>
    <row r="807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4"/>
      <c r="O807" s="184"/>
      <c r="P807" s="184"/>
      <c r="Q807" s="184"/>
      <c r="R807" s="184"/>
      <c r="S807" s="183"/>
      <c r="T807" s="183"/>
    </row>
    <row r="808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4"/>
      <c r="O808" s="184"/>
      <c r="P808" s="184"/>
      <c r="Q808" s="184"/>
      <c r="R808" s="184"/>
      <c r="S808" s="183"/>
      <c r="T808" s="183"/>
    </row>
    <row r="809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4"/>
      <c r="O809" s="184"/>
      <c r="P809" s="184"/>
      <c r="Q809" s="184"/>
      <c r="R809" s="184"/>
      <c r="S809" s="183"/>
      <c r="T809" s="183"/>
    </row>
    <row r="810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4"/>
      <c r="O810" s="184"/>
      <c r="P810" s="184"/>
      <c r="Q810" s="184"/>
      <c r="R810" s="184"/>
      <c r="S810" s="183"/>
      <c r="T810" s="183"/>
    </row>
    <row r="81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4"/>
      <c r="O811" s="184"/>
      <c r="P811" s="184"/>
      <c r="Q811" s="184"/>
      <c r="R811" s="184"/>
      <c r="S811" s="183"/>
      <c r="T811" s="183"/>
    </row>
    <row r="812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4"/>
      <c r="O812" s="184"/>
      <c r="P812" s="184"/>
      <c r="Q812" s="184"/>
      <c r="R812" s="184"/>
      <c r="S812" s="183"/>
      <c r="T812" s="183"/>
    </row>
    <row r="813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4"/>
      <c r="O813" s="184"/>
      <c r="P813" s="184"/>
      <c r="Q813" s="184"/>
      <c r="R813" s="184"/>
      <c r="S813" s="183"/>
      <c r="T813" s="183"/>
    </row>
    <row r="814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4"/>
      <c r="O814" s="184"/>
      <c r="P814" s="184"/>
      <c r="Q814" s="184"/>
      <c r="R814" s="184"/>
      <c r="S814" s="183"/>
      <c r="T814" s="183"/>
    </row>
    <row r="815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4"/>
      <c r="O815" s="184"/>
      <c r="P815" s="184"/>
      <c r="Q815" s="184"/>
      <c r="R815" s="184"/>
      <c r="S815" s="183"/>
      <c r="T815" s="183"/>
    </row>
    <row r="816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4"/>
      <c r="O816" s="184"/>
      <c r="P816" s="184"/>
      <c r="Q816" s="184"/>
      <c r="R816" s="184"/>
      <c r="S816" s="183"/>
      <c r="T816" s="183"/>
    </row>
    <row r="817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4"/>
      <c r="O817" s="184"/>
      <c r="P817" s="184"/>
      <c r="Q817" s="184"/>
      <c r="R817" s="184"/>
      <c r="S817" s="183"/>
      <c r="T817" s="183"/>
    </row>
    <row r="818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4"/>
      <c r="O818" s="184"/>
      <c r="P818" s="184"/>
      <c r="Q818" s="184"/>
      <c r="R818" s="184"/>
      <c r="S818" s="183"/>
      <c r="T818" s="183"/>
    </row>
    <row r="819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4"/>
      <c r="O819" s="184"/>
      <c r="P819" s="184"/>
      <c r="Q819" s="184"/>
      <c r="R819" s="184"/>
      <c r="S819" s="183"/>
      <c r="T819" s="183"/>
    </row>
    <row r="820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4"/>
      <c r="O820" s="184"/>
      <c r="P820" s="184"/>
      <c r="Q820" s="184"/>
      <c r="R820" s="184"/>
      <c r="S820" s="183"/>
      <c r="T820" s="183"/>
    </row>
    <row r="82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4"/>
      <c r="O821" s="184"/>
      <c r="P821" s="184"/>
      <c r="Q821" s="184"/>
      <c r="R821" s="184"/>
      <c r="S821" s="183"/>
      <c r="T821" s="183"/>
    </row>
    <row r="822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4"/>
      <c r="O822" s="184"/>
      <c r="P822" s="184"/>
      <c r="Q822" s="184"/>
      <c r="R822" s="184"/>
      <c r="S822" s="183"/>
      <c r="T822" s="183"/>
    </row>
    <row r="823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4"/>
      <c r="O823" s="184"/>
      <c r="P823" s="184"/>
      <c r="Q823" s="184"/>
      <c r="R823" s="184"/>
      <c r="S823" s="183"/>
      <c r="T823" s="183"/>
    </row>
    <row r="824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4"/>
      <c r="O824" s="184"/>
      <c r="P824" s="184"/>
      <c r="Q824" s="184"/>
      <c r="R824" s="184"/>
      <c r="S824" s="183"/>
      <c r="T824" s="183"/>
    </row>
    <row r="825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4"/>
      <c r="O825" s="184"/>
      <c r="P825" s="184"/>
      <c r="Q825" s="184"/>
      <c r="R825" s="184"/>
      <c r="S825" s="183"/>
      <c r="T825" s="183"/>
    </row>
    <row r="826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4"/>
      <c r="O826" s="184"/>
      <c r="P826" s="184"/>
      <c r="Q826" s="184"/>
      <c r="R826" s="184"/>
      <c r="S826" s="183"/>
      <c r="T826" s="183"/>
    </row>
    <row r="827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4"/>
      <c r="O827" s="184"/>
      <c r="P827" s="184"/>
      <c r="Q827" s="184"/>
      <c r="R827" s="184"/>
      <c r="S827" s="183"/>
      <c r="T827" s="183"/>
    </row>
    <row r="828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4"/>
      <c r="O828" s="184"/>
      <c r="P828" s="184"/>
      <c r="Q828" s="184"/>
      <c r="R828" s="184"/>
      <c r="S828" s="183"/>
      <c r="T828" s="183"/>
    </row>
    <row r="829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4"/>
      <c r="O829" s="184"/>
      <c r="P829" s="184"/>
      <c r="Q829" s="184"/>
      <c r="R829" s="184"/>
      <c r="S829" s="183"/>
      <c r="T829" s="183"/>
    </row>
    <row r="830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4"/>
      <c r="O830" s="184"/>
      <c r="P830" s="184"/>
      <c r="Q830" s="184"/>
      <c r="R830" s="184"/>
      <c r="S830" s="183"/>
      <c r="T830" s="183"/>
    </row>
    <row r="83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4"/>
      <c r="O831" s="184"/>
      <c r="P831" s="184"/>
      <c r="Q831" s="184"/>
      <c r="R831" s="184"/>
      <c r="S831" s="183"/>
      <c r="T831" s="183"/>
    </row>
    <row r="832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4"/>
      <c r="O832" s="184"/>
      <c r="P832" s="184"/>
      <c r="Q832" s="184"/>
      <c r="R832" s="184"/>
      <c r="S832" s="183"/>
      <c r="T832" s="183"/>
    </row>
    <row r="833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4"/>
      <c r="O833" s="184"/>
      <c r="P833" s="184"/>
      <c r="Q833" s="184"/>
      <c r="R833" s="184"/>
      <c r="S833" s="183"/>
      <c r="T833" s="183"/>
    </row>
    <row r="834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4"/>
      <c r="O834" s="184"/>
      <c r="P834" s="184"/>
      <c r="Q834" s="184"/>
      <c r="R834" s="184"/>
      <c r="S834" s="183"/>
      <c r="T834" s="183"/>
    </row>
    <row r="835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4"/>
      <c r="O835" s="184"/>
      <c r="P835" s="184"/>
      <c r="Q835" s="184"/>
      <c r="R835" s="184"/>
      <c r="S835" s="183"/>
      <c r="T835" s="183"/>
    </row>
    <row r="836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4"/>
      <c r="O836" s="184"/>
      <c r="P836" s="184"/>
      <c r="Q836" s="184"/>
      <c r="R836" s="184"/>
      <c r="S836" s="183"/>
      <c r="T836" s="183"/>
    </row>
    <row r="837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4"/>
      <c r="O837" s="184"/>
      <c r="P837" s="184"/>
      <c r="Q837" s="184"/>
      <c r="R837" s="184"/>
      <c r="S837" s="183"/>
      <c r="T837" s="183"/>
    </row>
    <row r="838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4"/>
      <c r="O838" s="184"/>
      <c r="P838" s="184"/>
      <c r="Q838" s="184"/>
      <c r="R838" s="184"/>
      <c r="S838" s="183"/>
      <c r="T838" s="183"/>
    </row>
    <row r="839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4"/>
      <c r="O839" s="184"/>
      <c r="P839" s="184"/>
      <c r="Q839" s="184"/>
      <c r="R839" s="184"/>
      <c r="S839" s="183"/>
      <c r="T839" s="183"/>
    </row>
    <row r="840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4"/>
      <c r="O840" s="184"/>
      <c r="P840" s="184"/>
      <c r="Q840" s="184"/>
      <c r="R840" s="184"/>
      <c r="S840" s="183"/>
      <c r="T840" s="183"/>
    </row>
    <row r="84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4"/>
      <c r="O841" s="184"/>
      <c r="P841" s="184"/>
      <c r="Q841" s="184"/>
      <c r="R841" s="184"/>
      <c r="S841" s="183"/>
      <c r="T841" s="183"/>
    </row>
    <row r="842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4"/>
      <c r="O842" s="184"/>
      <c r="P842" s="184"/>
      <c r="Q842" s="184"/>
      <c r="R842" s="184"/>
      <c r="S842" s="183"/>
      <c r="T842" s="183"/>
    </row>
    <row r="843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4"/>
      <c r="O843" s="184"/>
      <c r="P843" s="184"/>
      <c r="Q843" s="184"/>
      <c r="R843" s="184"/>
      <c r="S843" s="183"/>
      <c r="T843" s="183"/>
    </row>
    <row r="844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4"/>
      <c r="O844" s="184"/>
      <c r="P844" s="184"/>
      <c r="Q844" s="184"/>
      <c r="R844" s="184"/>
      <c r="S844" s="183"/>
      <c r="T844" s="183"/>
    </row>
    <row r="845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4"/>
      <c r="O845" s="184"/>
      <c r="P845" s="184"/>
      <c r="Q845" s="184"/>
      <c r="R845" s="184"/>
      <c r="S845" s="183"/>
      <c r="T845" s="183"/>
    </row>
    <row r="846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4"/>
      <c r="O846" s="184"/>
      <c r="P846" s="184"/>
      <c r="Q846" s="184"/>
      <c r="R846" s="184"/>
      <c r="S846" s="183"/>
      <c r="T846" s="183"/>
    </row>
    <row r="847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4"/>
      <c r="O847" s="184"/>
      <c r="P847" s="184"/>
      <c r="Q847" s="184"/>
      <c r="R847" s="184"/>
      <c r="S847" s="183"/>
      <c r="T847" s="183"/>
    </row>
    <row r="848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4"/>
      <c r="O848" s="184"/>
      <c r="P848" s="184"/>
      <c r="Q848" s="184"/>
      <c r="R848" s="184"/>
      <c r="S848" s="183"/>
      <c r="T848" s="183"/>
    </row>
    <row r="849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4"/>
      <c r="O849" s="184"/>
      <c r="P849" s="184"/>
      <c r="Q849" s="184"/>
      <c r="R849" s="184"/>
      <c r="S849" s="183"/>
      <c r="T849" s="183"/>
    </row>
    <row r="850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4"/>
      <c r="O850" s="184"/>
      <c r="P850" s="184"/>
      <c r="Q850" s="184"/>
      <c r="R850" s="184"/>
      <c r="S850" s="183"/>
      <c r="T850" s="183"/>
    </row>
    <row r="85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4"/>
      <c r="O851" s="184"/>
      <c r="P851" s="184"/>
      <c r="Q851" s="184"/>
      <c r="R851" s="184"/>
      <c r="S851" s="183"/>
      <c r="T851" s="183"/>
    </row>
    <row r="852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4"/>
      <c r="O852" s="184"/>
      <c r="P852" s="184"/>
      <c r="Q852" s="184"/>
      <c r="R852" s="184"/>
      <c r="S852" s="183"/>
      <c r="T852" s="183"/>
    </row>
    <row r="853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4"/>
      <c r="O853" s="184"/>
      <c r="P853" s="184"/>
      <c r="Q853" s="184"/>
      <c r="R853" s="184"/>
      <c r="S853" s="183"/>
      <c r="T853" s="183"/>
    </row>
    <row r="854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4"/>
      <c r="O854" s="184"/>
      <c r="P854" s="184"/>
      <c r="Q854" s="184"/>
      <c r="R854" s="184"/>
      <c r="S854" s="183"/>
      <c r="T854" s="183"/>
    </row>
    <row r="855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4"/>
      <c r="O855" s="184"/>
      <c r="P855" s="184"/>
      <c r="Q855" s="184"/>
      <c r="R855" s="184"/>
      <c r="S855" s="183"/>
      <c r="T855" s="183"/>
    </row>
    <row r="856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4"/>
      <c r="O856" s="184"/>
      <c r="P856" s="184"/>
      <c r="Q856" s="184"/>
      <c r="R856" s="184"/>
      <c r="S856" s="183"/>
      <c r="T856" s="183"/>
    </row>
    <row r="857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4"/>
      <c r="O857" s="184"/>
      <c r="P857" s="184"/>
      <c r="Q857" s="184"/>
      <c r="R857" s="184"/>
      <c r="S857" s="183"/>
      <c r="T857" s="183"/>
    </row>
    <row r="858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4"/>
      <c r="O858" s="184"/>
      <c r="P858" s="184"/>
      <c r="Q858" s="184"/>
      <c r="R858" s="184"/>
      <c r="S858" s="183"/>
      <c r="T858" s="183"/>
    </row>
    <row r="859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4"/>
      <c r="O859" s="184"/>
      <c r="P859" s="184"/>
      <c r="Q859" s="184"/>
      <c r="R859" s="184"/>
      <c r="S859" s="183"/>
      <c r="T859" s="183"/>
    </row>
    <row r="860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4"/>
      <c r="O860" s="184"/>
      <c r="P860" s="184"/>
      <c r="Q860" s="184"/>
      <c r="R860" s="184"/>
      <c r="S860" s="183"/>
      <c r="T860" s="183"/>
    </row>
    <row r="86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4"/>
      <c r="O861" s="184"/>
      <c r="P861" s="184"/>
      <c r="Q861" s="184"/>
      <c r="R861" s="184"/>
      <c r="S861" s="183"/>
      <c r="T861" s="183"/>
    </row>
    <row r="862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4"/>
      <c r="O862" s="184"/>
      <c r="P862" s="184"/>
      <c r="Q862" s="184"/>
      <c r="R862" s="184"/>
      <c r="S862" s="183"/>
      <c r="T862" s="183"/>
    </row>
    <row r="863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4"/>
      <c r="O863" s="184"/>
      <c r="P863" s="184"/>
      <c r="Q863" s="184"/>
      <c r="R863" s="184"/>
      <c r="S863" s="183"/>
      <c r="T863" s="183"/>
    </row>
    <row r="864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4"/>
      <c r="O864" s="184"/>
      <c r="P864" s="184"/>
      <c r="Q864" s="184"/>
      <c r="R864" s="184"/>
      <c r="S864" s="183"/>
      <c r="T864" s="183"/>
    </row>
    <row r="865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4"/>
      <c r="O865" s="184"/>
      <c r="P865" s="184"/>
      <c r="Q865" s="184"/>
      <c r="R865" s="184"/>
      <c r="S865" s="183"/>
      <c r="T865" s="183"/>
    </row>
    <row r="866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4"/>
      <c r="O866" s="184"/>
      <c r="P866" s="184"/>
      <c r="Q866" s="184"/>
      <c r="R866" s="184"/>
      <c r="S866" s="183"/>
      <c r="T866" s="183"/>
    </row>
    <row r="867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4"/>
      <c r="O867" s="184"/>
      <c r="P867" s="184"/>
      <c r="Q867" s="184"/>
      <c r="R867" s="184"/>
      <c r="S867" s="183"/>
      <c r="T867" s="183"/>
    </row>
    <row r="868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4"/>
      <c r="O868" s="184"/>
      <c r="P868" s="184"/>
      <c r="Q868" s="184"/>
      <c r="R868" s="184"/>
      <c r="S868" s="183"/>
      <c r="T868" s="183"/>
    </row>
    <row r="869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4"/>
      <c r="O869" s="184"/>
      <c r="P869" s="184"/>
      <c r="Q869" s="184"/>
      <c r="R869" s="184"/>
      <c r="S869" s="183"/>
      <c r="T869" s="183"/>
    </row>
    <row r="870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4"/>
      <c r="O870" s="184"/>
      <c r="P870" s="184"/>
      <c r="Q870" s="184"/>
      <c r="R870" s="184"/>
      <c r="S870" s="183"/>
      <c r="T870" s="183"/>
    </row>
    <row r="87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4"/>
      <c r="O871" s="184"/>
      <c r="P871" s="184"/>
      <c r="Q871" s="184"/>
      <c r="R871" s="184"/>
      <c r="S871" s="183"/>
      <c r="T871" s="183"/>
    </row>
    <row r="872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4"/>
      <c r="O872" s="184"/>
      <c r="P872" s="184"/>
      <c r="Q872" s="184"/>
      <c r="R872" s="184"/>
      <c r="S872" s="183"/>
      <c r="T872" s="183"/>
    </row>
    <row r="873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4"/>
      <c r="O873" s="184"/>
      <c r="P873" s="184"/>
      <c r="Q873" s="184"/>
      <c r="R873" s="184"/>
      <c r="S873" s="183"/>
      <c r="T873" s="183"/>
    </row>
    <row r="874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4"/>
      <c r="O874" s="184"/>
      <c r="P874" s="184"/>
      <c r="Q874" s="184"/>
      <c r="R874" s="184"/>
      <c r="S874" s="183"/>
      <c r="T874" s="183"/>
    </row>
    <row r="875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4"/>
      <c r="O875" s="184"/>
      <c r="P875" s="184"/>
      <c r="Q875" s="184"/>
      <c r="R875" s="184"/>
      <c r="S875" s="183"/>
      <c r="T875" s="183"/>
    </row>
    <row r="876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4"/>
      <c r="O876" s="184"/>
      <c r="P876" s="184"/>
      <c r="Q876" s="184"/>
      <c r="R876" s="184"/>
      <c r="S876" s="183"/>
      <c r="T876" s="183"/>
    </row>
    <row r="877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4"/>
      <c r="O877" s="184"/>
      <c r="P877" s="184"/>
      <c r="Q877" s="184"/>
      <c r="R877" s="184"/>
      <c r="S877" s="183"/>
      <c r="T877" s="183"/>
    </row>
    <row r="878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4"/>
      <c r="O878" s="184"/>
      <c r="P878" s="184"/>
      <c r="Q878" s="184"/>
      <c r="R878" s="184"/>
      <c r="S878" s="183"/>
      <c r="T878" s="183"/>
    </row>
    <row r="879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4"/>
      <c r="O879" s="184"/>
      <c r="P879" s="184"/>
      <c r="Q879" s="184"/>
      <c r="R879" s="184"/>
      <c r="S879" s="183"/>
      <c r="T879" s="183"/>
    </row>
    <row r="880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4"/>
      <c r="O880" s="184"/>
      <c r="P880" s="184"/>
      <c r="Q880" s="184"/>
      <c r="R880" s="184"/>
      <c r="S880" s="183"/>
      <c r="T880" s="183"/>
    </row>
    <row r="88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4"/>
      <c r="O881" s="184"/>
      <c r="P881" s="184"/>
      <c r="Q881" s="184"/>
      <c r="R881" s="184"/>
      <c r="S881" s="183"/>
      <c r="T881" s="183"/>
    </row>
    <row r="882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4"/>
      <c r="O882" s="184"/>
      <c r="P882" s="184"/>
      <c r="Q882" s="184"/>
      <c r="R882" s="184"/>
      <c r="S882" s="183"/>
      <c r="T882" s="183"/>
    </row>
    <row r="883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4"/>
      <c r="O883" s="184"/>
      <c r="P883" s="184"/>
      <c r="Q883" s="184"/>
      <c r="R883" s="184"/>
      <c r="S883" s="183"/>
      <c r="T883" s="183"/>
    </row>
    <row r="884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4"/>
      <c r="O884" s="184"/>
      <c r="P884" s="184"/>
      <c r="Q884" s="184"/>
      <c r="R884" s="184"/>
      <c r="S884" s="183"/>
      <c r="T884" s="183"/>
    </row>
    <row r="885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4"/>
      <c r="O885" s="184"/>
      <c r="P885" s="184"/>
      <c r="Q885" s="184"/>
      <c r="R885" s="184"/>
      <c r="S885" s="183"/>
      <c r="T885" s="183"/>
    </row>
    <row r="886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4"/>
      <c r="O886" s="184"/>
      <c r="P886" s="184"/>
      <c r="Q886" s="184"/>
      <c r="R886" s="184"/>
      <c r="S886" s="183"/>
      <c r="T886" s="183"/>
    </row>
    <row r="887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4"/>
      <c r="O887" s="184"/>
      <c r="P887" s="184"/>
      <c r="Q887" s="184"/>
      <c r="R887" s="184"/>
      <c r="S887" s="183"/>
      <c r="T887" s="183"/>
    </row>
    <row r="888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4"/>
      <c r="O888" s="184"/>
      <c r="P888" s="184"/>
      <c r="Q888" s="184"/>
      <c r="R888" s="184"/>
      <c r="S888" s="183"/>
      <c r="T888" s="183"/>
    </row>
    <row r="889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4"/>
      <c r="O889" s="184"/>
      <c r="P889" s="184"/>
      <c r="Q889" s="184"/>
      <c r="R889" s="184"/>
      <c r="S889" s="183"/>
      <c r="T889" s="183"/>
    </row>
    <row r="890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4"/>
      <c r="O890" s="184"/>
      <c r="P890" s="184"/>
      <c r="Q890" s="184"/>
      <c r="R890" s="184"/>
      <c r="S890" s="183"/>
      <c r="T890" s="183"/>
    </row>
    <row r="89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4"/>
      <c r="O891" s="184"/>
      <c r="P891" s="184"/>
      <c r="Q891" s="184"/>
      <c r="R891" s="184"/>
      <c r="S891" s="183"/>
      <c r="T891" s="183"/>
    </row>
    <row r="892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4"/>
      <c r="O892" s="184"/>
      <c r="P892" s="184"/>
      <c r="Q892" s="184"/>
      <c r="R892" s="184"/>
      <c r="S892" s="183"/>
      <c r="T892" s="183"/>
    </row>
    <row r="893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4"/>
      <c r="O893" s="184"/>
      <c r="P893" s="184"/>
      <c r="Q893" s="184"/>
      <c r="R893" s="184"/>
      <c r="S893" s="183"/>
      <c r="T893" s="183"/>
    </row>
    <row r="894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4"/>
      <c r="O894" s="184"/>
      <c r="P894" s="184"/>
      <c r="Q894" s="184"/>
      <c r="R894" s="184"/>
      <c r="S894" s="183"/>
      <c r="T894" s="183"/>
    </row>
    <row r="895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4"/>
      <c r="O895" s="184"/>
      <c r="P895" s="184"/>
      <c r="Q895" s="184"/>
      <c r="R895" s="184"/>
      <c r="S895" s="183"/>
      <c r="T895" s="183"/>
    </row>
    <row r="896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4"/>
      <c r="O896" s="184"/>
      <c r="P896" s="184"/>
      <c r="Q896" s="184"/>
      <c r="R896" s="184"/>
      <c r="S896" s="183"/>
      <c r="T896" s="183"/>
    </row>
    <row r="897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4"/>
      <c r="O897" s="184"/>
      <c r="P897" s="184"/>
      <c r="Q897" s="184"/>
      <c r="R897" s="184"/>
      <c r="S897" s="183"/>
      <c r="T897" s="183"/>
    </row>
    <row r="898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4"/>
      <c r="O898" s="184"/>
      <c r="P898" s="184"/>
      <c r="Q898" s="184"/>
      <c r="R898" s="184"/>
      <c r="S898" s="183"/>
      <c r="T898" s="183"/>
    </row>
    <row r="899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4"/>
      <c r="O899" s="184"/>
      <c r="P899" s="184"/>
      <c r="Q899" s="184"/>
      <c r="R899" s="184"/>
      <c r="S899" s="183"/>
      <c r="T899" s="183"/>
    </row>
    <row r="900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4"/>
      <c r="O900" s="184"/>
      <c r="P900" s="184"/>
      <c r="Q900" s="184"/>
      <c r="R900" s="184"/>
      <c r="S900" s="183"/>
      <c r="T900" s="183"/>
    </row>
    <row r="90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4"/>
      <c r="O901" s="184"/>
      <c r="P901" s="184"/>
      <c r="Q901" s="184"/>
      <c r="R901" s="184"/>
      <c r="S901" s="183"/>
      <c r="T901" s="183"/>
    </row>
    <row r="902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4"/>
      <c r="O902" s="184"/>
      <c r="P902" s="184"/>
      <c r="Q902" s="184"/>
      <c r="R902" s="184"/>
      <c r="S902" s="183"/>
      <c r="T902" s="183"/>
    </row>
    <row r="903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4"/>
      <c r="O903" s="184"/>
      <c r="P903" s="184"/>
      <c r="Q903" s="184"/>
      <c r="R903" s="184"/>
      <c r="S903" s="183"/>
      <c r="T903" s="183"/>
    </row>
    <row r="904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4"/>
      <c r="O904" s="184"/>
      <c r="P904" s="184"/>
      <c r="Q904" s="184"/>
      <c r="R904" s="184"/>
      <c r="S904" s="183"/>
      <c r="T904" s="183"/>
    </row>
    <row r="905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4"/>
      <c r="O905" s="184"/>
      <c r="P905" s="184"/>
      <c r="Q905" s="184"/>
      <c r="R905" s="184"/>
      <c r="S905" s="183"/>
      <c r="T905" s="183"/>
    </row>
    <row r="906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4"/>
      <c r="O906" s="184"/>
      <c r="P906" s="184"/>
      <c r="Q906" s="184"/>
      <c r="R906" s="184"/>
      <c r="S906" s="183"/>
      <c r="T906" s="183"/>
    </row>
    <row r="907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4"/>
      <c r="O907" s="184"/>
      <c r="P907" s="184"/>
      <c r="Q907" s="184"/>
      <c r="R907" s="184"/>
      <c r="S907" s="183"/>
      <c r="T907" s="183"/>
    </row>
    <row r="908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4"/>
      <c r="O908" s="184"/>
      <c r="P908" s="184"/>
      <c r="Q908" s="184"/>
      <c r="R908" s="184"/>
      <c r="S908" s="183"/>
      <c r="T908" s="183"/>
    </row>
    <row r="909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4"/>
      <c r="O909" s="184"/>
      <c r="P909" s="184"/>
      <c r="Q909" s="184"/>
      <c r="R909" s="184"/>
      <c r="S909" s="183"/>
      <c r="T909" s="183"/>
    </row>
    <row r="910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4"/>
      <c r="O910" s="184"/>
      <c r="P910" s="184"/>
      <c r="Q910" s="184"/>
      <c r="R910" s="184"/>
      <c r="S910" s="183"/>
      <c r="T910" s="183"/>
    </row>
    <row r="91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4"/>
      <c r="O911" s="184"/>
      <c r="P911" s="184"/>
      <c r="Q911" s="184"/>
      <c r="R911" s="184"/>
      <c r="S911" s="183"/>
      <c r="T911" s="183"/>
    </row>
    <row r="912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4"/>
      <c r="O912" s="184"/>
      <c r="P912" s="184"/>
      <c r="Q912" s="184"/>
      <c r="R912" s="184"/>
      <c r="S912" s="183"/>
      <c r="T912" s="183"/>
    </row>
    <row r="913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4"/>
      <c r="O913" s="184"/>
      <c r="P913" s="184"/>
      <c r="Q913" s="184"/>
      <c r="R913" s="184"/>
      <c r="S913" s="183"/>
      <c r="T913" s="183"/>
    </row>
    <row r="914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4"/>
      <c r="O914" s="184"/>
      <c r="P914" s="184"/>
      <c r="Q914" s="184"/>
      <c r="R914" s="184"/>
      <c r="S914" s="183"/>
      <c r="T914" s="183"/>
    </row>
    <row r="915">
      <c r="A915" s="183"/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4"/>
      <c r="O915" s="184"/>
      <c r="P915" s="184"/>
      <c r="Q915" s="184"/>
      <c r="R915" s="184"/>
      <c r="S915" s="183"/>
      <c r="T915" s="183"/>
    </row>
    <row r="916">
      <c r="A916" s="183"/>
      <c r="B916" s="18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4"/>
      <c r="O916" s="184"/>
      <c r="P916" s="184"/>
      <c r="Q916" s="184"/>
      <c r="R916" s="184"/>
      <c r="S916" s="183"/>
      <c r="T916" s="183"/>
    </row>
    <row r="917">
      <c r="A917" s="183"/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4"/>
      <c r="O917" s="184"/>
      <c r="P917" s="184"/>
      <c r="Q917" s="184"/>
      <c r="R917" s="184"/>
      <c r="S917" s="183"/>
      <c r="T917" s="183"/>
    </row>
    <row r="918">
      <c r="A918" s="183"/>
      <c r="B918" s="18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4"/>
      <c r="O918" s="184"/>
      <c r="P918" s="184"/>
      <c r="Q918" s="184"/>
      <c r="R918" s="184"/>
      <c r="S918" s="183"/>
      <c r="T918" s="183"/>
    </row>
    <row r="919">
      <c r="A919" s="183"/>
      <c r="B919" s="18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4"/>
      <c r="O919" s="184"/>
      <c r="P919" s="184"/>
      <c r="Q919" s="184"/>
      <c r="R919" s="184"/>
      <c r="S919" s="183"/>
      <c r="T919" s="183"/>
    </row>
    <row r="920">
      <c r="A920" s="183"/>
      <c r="B920" s="18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4"/>
      <c r="O920" s="184"/>
      <c r="P920" s="184"/>
      <c r="Q920" s="184"/>
      <c r="R920" s="184"/>
      <c r="S920" s="183"/>
      <c r="T920" s="183"/>
    </row>
    <row r="921">
      <c r="A921" s="183"/>
      <c r="B921" s="18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4"/>
      <c r="O921" s="184"/>
      <c r="P921" s="184"/>
      <c r="Q921" s="184"/>
      <c r="R921" s="184"/>
      <c r="S921" s="183"/>
      <c r="T921" s="183"/>
    </row>
    <row r="922">
      <c r="A922" s="183"/>
      <c r="B922" s="18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4"/>
      <c r="O922" s="184"/>
      <c r="P922" s="184"/>
      <c r="Q922" s="184"/>
      <c r="R922" s="184"/>
      <c r="S922" s="183"/>
      <c r="T922" s="183"/>
    </row>
    <row r="923">
      <c r="A923" s="183"/>
      <c r="B923" s="18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4"/>
      <c r="O923" s="184"/>
      <c r="P923" s="184"/>
      <c r="Q923" s="184"/>
      <c r="R923" s="184"/>
      <c r="S923" s="183"/>
      <c r="T923" s="183"/>
    </row>
    <row r="924">
      <c r="A924" s="183"/>
      <c r="B924" s="18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4"/>
      <c r="O924" s="184"/>
      <c r="P924" s="184"/>
      <c r="Q924" s="184"/>
      <c r="R924" s="184"/>
      <c r="S924" s="183"/>
      <c r="T924" s="183"/>
    </row>
    <row r="925">
      <c r="A925" s="183"/>
      <c r="B925" s="18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4"/>
      <c r="O925" s="184"/>
      <c r="P925" s="184"/>
      <c r="Q925" s="184"/>
      <c r="R925" s="184"/>
      <c r="S925" s="183"/>
      <c r="T925" s="183"/>
    </row>
    <row r="926">
      <c r="A926" s="183"/>
      <c r="B926" s="18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4"/>
      <c r="O926" s="184"/>
      <c r="P926" s="184"/>
      <c r="Q926" s="184"/>
      <c r="R926" s="184"/>
      <c r="S926" s="183"/>
      <c r="T926" s="183"/>
    </row>
    <row r="927">
      <c r="A927" s="183"/>
      <c r="B927" s="18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4"/>
      <c r="O927" s="184"/>
      <c r="P927" s="184"/>
      <c r="Q927" s="184"/>
      <c r="R927" s="184"/>
      <c r="S927" s="183"/>
      <c r="T927" s="183"/>
    </row>
    <row r="928">
      <c r="A928" s="183"/>
      <c r="B928" s="18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4"/>
      <c r="O928" s="184"/>
      <c r="P928" s="184"/>
      <c r="Q928" s="184"/>
      <c r="R928" s="184"/>
      <c r="S928" s="183"/>
      <c r="T928" s="183"/>
    </row>
    <row r="929">
      <c r="A929" s="183"/>
      <c r="B929" s="18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4"/>
      <c r="O929" s="184"/>
      <c r="P929" s="184"/>
      <c r="Q929" s="184"/>
      <c r="R929" s="184"/>
      <c r="S929" s="183"/>
      <c r="T929" s="183"/>
    </row>
    <row r="930">
      <c r="A930" s="183"/>
      <c r="B930" s="18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4"/>
      <c r="O930" s="184"/>
      <c r="P930" s="184"/>
      <c r="Q930" s="184"/>
      <c r="R930" s="184"/>
      <c r="S930" s="183"/>
      <c r="T930" s="183"/>
    </row>
    <row r="931">
      <c r="A931" s="183"/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4"/>
      <c r="O931" s="184"/>
      <c r="P931" s="184"/>
      <c r="Q931" s="184"/>
      <c r="R931" s="184"/>
      <c r="S931" s="183"/>
      <c r="T931" s="183"/>
    </row>
    <row r="932">
      <c r="A932" s="183"/>
      <c r="B932" s="18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4"/>
      <c r="O932" s="184"/>
      <c r="P932" s="184"/>
      <c r="Q932" s="184"/>
      <c r="R932" s="184"/>
      <c r="S932" s="183"/>
      <c r="T932" s="183"/>
    </row>
    <row r="933">
      <c r="A933" s="183"/>
      <c r="B933" s="18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4"/>
      <c r="O933" s="184"/>
      <c r="P933" s="184"/>
      <c r="Q933" s="184"/>
      <c r="R933" s="184"/>
      <c r="S933" s="183"/>
      <c r="T933" s="183"/>
    </row>
    <row r="934">
      <c r="A934" s="183"/>
      <c r="B934" s="18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4"/>
      <c r="O934" s="184"/>
      <c r="P934" s="184"/>
      <c r="Q934" s="184"/>
      <c r="R934" s="184"/>
      <c r="S934" s="183"/>
      <c r="T934" s="183"/>
    </row>
    <row r="935">
      <c r="A935" s="183"/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4"/>
      <c r="O935" s="184"/>
      <c r="P935" s="184"/>
      <c r="Q935" s="184"/>
      <c r="R935" s="184"/>
      <c r="S935" s="183"/>
      <c r="T935" s="183"/>
    </row>
    <row r="936">
      <c r="A936" s="183"/>
      <c r="B936" s="18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4"/>
      <c r="O936" s="184"/>
      <c r="P936" s="184"/>
      <c r="Q936" s="184"/>
      <c r="R936" s="184"/>
      <c r="S936" s="183"/>
      <c r="T936" s="183"/>
    </row>
    <row r="937">
      <c r="A937" s="183"/>
      <c r="B937" s="18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4"/>
      <c r="O937" s="184"/>
      <c r="P937" s="184"/>
      <c r="Q937" s="184"/>
      <c r="R937" s="184"/>
      <c r="S937" s="183"/>
      <c r="T937" s="183"/>
    </row>
    <row r="938">
      <c r="A938" s="183"/>
      <c r="B938" s="18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4"/>
      <c r="O938" s="184"/>
      <c r="P938" s="184"/>
      <c r="Q938" s="184"/>
      <c r="R938" s="184"/>
      <c r="S938" s="183"/>
      <c r="T938" s="183"/>
    </row>
    <row r="939">
      <c r="A939" s="183"/>
      <c r="B939" s="18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4"/>
      <c r="O939" s="184"/>
      <c r="P939" s="184"/>
      <c r="Q939" s="184"/>
      <c r="R939" s="184"/>
      <c r="S939" s="183"/>
      <c r="T939" s="183"/>
    </row>
    <row r="940">
      <c r="A940" s="183"/>
      <c r="B940" s="18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4"/>
      <c r="O940" s="184"/>
      <c r="P940" s="184"/>
      <c r="Q940" s="184"/>
      <c r="R940" s="184"/>
      <c r="S940" s="183"/>
      <c r="T940" s="183"/>
    </row>
    <row r="941">
      <c r="A941" s="183"/>
      <c r="B941" s="18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4"/>
      <c r="O941" s="184"/>
      <c r="P941" s="184"/>
      <c r="Q941" s="184"/>
      <c r="R941" s="184"/>
      <c r="S941" s="183"/>
      <c r="T941" s="183"/>
    </row>
    <row r="942">
      <c r="A942" s="183"/>
      <c r="B942" s="18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4"/>
      <c r="O942" s="184"/>
      <c r="P942" s="184"/>
      <c r="Q942" s="184"/>
      <c r="R942" s="184"/>
      <c r="S942" s="183"/>
      <c r="T942" s="183"/>
    </row>
    <row r="943">
      <c r="A943" s="183"/>
      <c r="B943" s="18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4"/>
      <c r="O943" s="184"/>
      <c r="P943" s="184"/>
      <c r="Q943" s="184"/>
      <c r="R943" s="184"/>
      <c r="S943" s="183"/>
      <c r="T943" s="183"/>
    </row>
    <row r="944">
      <c r="A944" s="183"/>
      <c r="B944" s="18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4"/>
      <c r="O944" s="184"/>
      <c r="P944" s="184"/>
      <c r="Q944" s="184"/>
      <c r="R944" s="184"/>
      <c r="S944" s="183"/>
      <c r="T944" s="183"/>
    </row>
    <row r="945">
      <c r="A945" s="183"/>
      <c r="B945" s="18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4"/>
      <c r="O945" s="184"/>
      <c r="P945" s="184"/>
      <c r="Q945" s="184"/>
      <c r="R945" s="184"/>
      <c r="S945" s="183"/>
      <c r="T945" s="183"/>
    </row>
    <row r="946">
      <c r="A946" s="183"/>
      <c r="B946" s="18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4"/>
      <c r="O946" s="184"/>
      <c r="P946" s="184"/>
      <c r="Q946" s="184"/>
      <c r="R946" s="184"/>
      <c r="S946" s="183"/>
      <c r="T946" s="183"/>
    </row>
    <row r="947">
      <c r="A947" s="183"/>
      <c r="B947" s="18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4"/>
      <c r="O947" s="184"/>
      <c r="P947" s="184"/>
      <c r="Q947" s="184"/>
      <c r="R947" s="184"/>
      <c r="S947" s="183"/>
      <c r="T947" s="183"/>
    </row>
    <row r="948">
      <c r="A948" s="183"/>
      <c r="B948" s="18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4"/>
      <c r="O948" s="184"/>
      <c r="P948" s="184"/>
      <c r="Q948" s="184"/>
      <c r="R948" s="184"/>
      <c r="S948" s="183"/>
      <c r="T948" s="183"/>
    </row>
    <row r="949">
      <c r="A949" s="183"/>
      <c r="B949" s="183"/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  <c r="M949" s="183"/>
      <c r="N949" s="184"/>
      <c r="O949" s="184"/>
      <c r="P949" s="184"/>
      <c r="Q949" s="184"/>
      <c r="R949" s="184"/>
      <c r="S949" s="183"/>
      <c r="T949" s="183"/>
    </row>
    <row r="950">
      <c r="A950" s="183"/>
      <c r="B950" s="183"/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  <c r="M950" s="183"/>
      <c r="N950" s="184"/>
      <c r="O950" s="184"/>
      <c r="P950" s="184"/>
      <c r="Q950" s="184"/>
      <c r="R950" s="184"/>
      <c r="S950" s="183"/>
      <c r="T950" s="183"/>
    </row>
    <row r="951">
      <c r="A951" s="183"/>
      <c r="B951" s="183"/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  <c r="M951" s="183"/>
      <c r="N951" s="184"/>
      <c r="O951" s="184"/>
      <c r="P951" s="184"/>
      <c r="Q951" s="184"/>
      <c r="R951" s="184"/>
      <c r="S951" s="183"/>
      <c r="T951" s="183"/>
    </row>
    <row r="952">
      <c r="A952" s="183"/>
      <c r="B952" s="18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4"/>
      <c r="O952" s="184"/>
      <c r="P952" s="184"/>
      <c r="Q952" s="184"/>
      <c r="R952" s="184"/>
      <c r="S952" s="183"/>
      <c r="T952" s="183"/>
    </row>
    <row r="953">
      <c r="A953" s="183"/>
      <c r="B953" s="183"/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  <c r="M953" s="183"/>
      <c r="N953" s="184"/>
      <c r="O953" s="184"/>
      <c r="P953" s="184"/>
      <c r="Q953" s="184"/>
      <c r="R953" s="184"/>
      <c r="S953" s="183"/>
      <c r="T953" s="183"/>
    </row>
    <row r="954">
      <c r="A954" s="183"/>
      <c r="B954" s="183"/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  <c r="M954" s="183"/>
      <c r="N954" s="184"/>
      <c r="O954" s="184"/>
      <c r="P954" s="184"/>
      <c r="Q954" s="184"/>
      <c r="R954" s="184"/>
      <c r="S954" s="183"/>
      <c r="T954" s="183"/>
    </row>
    <row r="955">
      <c r="A955" s="183"/>
      <c r="B955" s="183"/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  <c r="M955" s="183"/>
      <c r="N955" s="184"/>
      <c r="O955" s="184"/>
      <c r="P955" s="184"/>
      <c r="Q955" s="184"/>
      <c r="R955" s="184"/>
      <c r="S955" s="183"/>
      <c r="T955" s="183"/>
    </row>
    <row r="956">
      <c r="A956" s="183"/>
      <c r="B956" s="183"/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  <c r="M956" s="183"/>
      <c r="N956" s="184"/>
      <c r="O956" s="184"/>
      <c r="P956" s="184"/>
      <c r="Q956" s="184"/>
      <c r="R956" s="184"/>
      <c r="S956" s="183"/>
      <c r="T956" s="183"/>
    </row>
    <row r="957">
      <c r="A957" s="183"/>
      <c r="B957" s="183"/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  <c r="M957" s="183"/>
      <c r="N957" s="184"/>
      <c r="O957" s="184"/>
      <c r="P957" s="184"/>
      <c r="Q957" s="184"/>
      <c r="R957" s="184"/>
      <c r="S957" s="183"/>
      <c r="T957" s="183"/>
    </row>
    <row r="958">
      <c r="A958" s="183"/>
      <c r="B958" s="183"/>
      <c r="C958" s="183"/>
      <c r="D958" s="183"/>
      <c r="E958" s="183"/>
      <c r="F958" s="183"/>
      <c r="G958" s="183"/>
      <c r="H958" s="183"/>
      <c r="I958" s="183"/>
      <c r="J958" s="183"/>
      <c r="K958" s="183"/>
      <c r="L958" s="183"/>
      <c r="M958" s="183"/>
      <c r="N958" s="184"/>
      <c r="O958" s="184"/>
      <c r="P958" s="184"/>
      <c r="Q958" s="184"/>
      <c r="R958" s="184"/>
      <c r="S958" s="183"/>
      <c r="T958" s="183"/>
    </row>
    <row r="959">
      <c r="A959" s="183"/>
      <c r="B959" s="183"/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  <c r="M959" s="183"/>
      <c r="N959" s="184"/>
      <c r="O959" s="184"/>
      <c r="P959" s="184"/>
      <c r="Q959" s="184"/>
      <c r="R959" s="184"/>
      <c r="S959" s="183"/>
      <c r="T959" s="183"/>
    </row>
    <row r="960">
      <c r="A960" s="183"/>
      <c r="B960" s="183"/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  <c r="M960" s="183"/>
      <c r="N960" s="184"/>
      <c r="O960" s="184"/>
      <c r="P960" s="184"/>
      <c r="Q960" s="184"/>
      <c r="R960" s="184"/>
      <c r="S960" s="183"/>
      <c r="T960" s="183"/>
    </row>
    <row r="961">
      <c r="A961" s="183"/>
      <c r="B961" s="183"/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  <c r="M961" s="183"/>
      <c r="N961" s="184"/>
      <c r="O961" s="184"/>
      <c r="P961" s="184"/>
      <c r="Q961" s="184"/>
      <c r="R961" s="184"/>
      <c r="S961" s="183"/>
      <c r="T961" s="183"/>
    </row>
    <row r="962">
      <c r="A962" s="183"/>
      <c r="B962" s="183"/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  <c r="M962" s="183"/>
      <c r="N962" s="184"/>
      <c r="O962" s="184"/>
      <c r="P962" s="184"/>
      <c r="Q962" s="184"/>
      <c r="R962" s="184"/>
      <c r="S962" s="183"/>
      <c r="T962" s="183"/>
    </row>
    <row r="963">
      <c r="A963" s="183"/>
      <c r="B963" s="183"/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  <c r="M963" s="183"/>
      <c r="N963" s="184"/>
      <c r="O963" s="184"/>
      <c r="P963" s="184"/>
      <c r="Q963" s="184"/>
      <c r="R963" s="184"/>
      <c r="S963" s="183"/>
      <c r="T963" s="183"/>
    </row>
    <row r="964">
      <c r="A964" s="183"/>
      <c r="B964" s="183"/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  <c r="M964" s="183"/>
      <c r="N964" s="184"/>
      <c r="O964" s="184"/>
      <c r="P964" s="184"/>
      <c r="Q964" s="184"/>
      <c r="R964" s="184"/>
      <c r="S964" s="183"/>
      <c r="T964" s="183"/>
    </row>
    <row r="965">
      <c r="A965" s="183"/>
      <c r="B965" s="183"/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  <c r="M965" s="183"/>
      <c r="N965" s="184"/>
      <c r="O965" s="184"/>
      <c r="P965" s="184"/>
      <c r="Q965" s="184"/>
      <c r="R965" s="184"/>
      <c r="S965" s="183"/>
      <c r="T965" s="183"/>
    </row>
    <row r="966">
      <c r="A966" s="183"/>
      <c r="B966" s="183"/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  <c r="M966" s="183"/>
      <c r="N966" s="184"/>
      <c r="O966" s="184"/>
      <c r="P966" s="184"/>
      <c r="Q966" s="184"/>
      <c r="R966" s="184"/>
      <c r="S966" s="183"/>
      <c r="T966" s="183"/>
    </row>
    <row r="967">
      <c r="A967" s="183"/>
      <c r="B967" s="18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3"/>
      <c r="N967" s="184"/>
      <c r="O967" s="184"/>
      <c r="P967" s="184"/>
      <c r="Q967" s="184"/>
      <c r="R967" s="184"/>
      <c r="S967" s="183"/>
      <c r="T967" s="183"/>
    </row>
    <row r="968">
      <c r="A968" s="183"/>
      <c r="B968" s="183"/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  <c r="M968" s="183"/>
      <c r="N968" s="184"/>
      <c r="O968" s="184"/>
      <c r="P968" s="184"/>
      <c r="Q968" s="184"/>
      <c r="R968" s="184"/>
      <c r="S968" s="183"/>
      <c r="T968" s="183"/>
    </row>
    <row r="969">
      <c r="A969" s="183"/>
      <c r="B969" s="183"/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  <c r="M969" s="183"/>
      <c r="N969" s="184"/>
      <c r="O969" s="184"/>
      <c r="P969" s="184"/>
      <c r="Q969" s="184"/>
      <c r="R969" s="184"/>
      <c r="S969" s="183"/>
      <c r="T969" s="183"/>
    </row>
    <row r="970">
      <c r="A970" s="183"/>
      <c r="B970" s="183"/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  <c r="M970" s="183"/>
      <c r="N970" s="184"/>
      <c r="O970" s="184"/>
      <c r="P970" s="184"/>
      <c r="Q970" s="184"/>
      <c r="R970" s="184"/>
      <c r="S970" s="183"/>
      <c r="T970" s="183"/>
    </row>
    <row r="971">
      <c r="A971" s="183"/>
      <c r="B971" s="183"/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  <c r="M971" s="183"/>
      <c r="N971" s="184"/>
      <c r="O971" s="184"/>
      <c r="P971" s="184"/>
      <c r="Q971" s="184"/>
      <c r="R971" s="184"/>
      <c r="S971" s="183"/>
      <c r="T971" s="183"/>
    </row>
    <row r="972">
      <c r="A972" s="183"/>
      <c r="B972" s="183"/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  <c r="M972" s="183"/>
      <c r="N972" s="184"/>
      <c r="O972" s="184"/>
      <c r="P972" s="184"/>
      <c r="Q972" s="184"/>
      <c r="R972" s="184"/>
      <c r="S972" s="183"/>
      <c r="T972" s="183"/>
    </row>
    <row r="973">
      <c r="A973" s="183"/>
      <c r="B973" s="183"/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  <c r="M973" s="183"/>
      <c r="N973" s="184"/>
      <c r="O973" s="184"/>
      <c r="P973" s="184"/>
      <c r="Q973" s="184"/>
      <c r="R973" s="184"/>
      <c r="S973" s="183"/>
      <c r="T973" s="183"/>
    </row>
    <row r="974">
      <c r="A974" s="183"/>
      <c r="B974" s="183"/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  <c r="M974" s="183"/>
      <c r="N974" s="184"/>
      <c r="O974" s="184"/>
      <c r="P974" s="184"/>
      <c r="Q974" s="184"/>
      <c r="R974" s="184"/>
      <c r="S974" s="183"/>
      <c r="T974" s="183"/>
    </row>
    <row r="975">
      <c r="A975" s="183"/>
      <c r="B975" s="183"/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  <c r="M975" s="183"/>
      <c r="N975" s="184"/>
      <c r="O975" s="184"/>
      <c r="P975" s="184"/>
      <c r="Q975" s="184"/>
      <c r="R975" s="184"/>
      <c r="S975" s="183"/>
      <c r="T975" s="183"/>
    </row>
    <row r="976">
      <c r="A976" s="183"/>
      <c r="B976" s="183"/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  <c r="M976" s="183"/>
      <c r="N976" s="184"/>
      <c r="O976" s="184"/>
      <c r="P976" s="184"/>
      <c r="Q976" s="184"/>
      <c r="R976" s="184"/>
      <c r="S976" s="183"/>
      <c r="T976" s="183"/>
    </row>
    <row r="977">
      <c r="A977" s="183"/>
      <c r="B977" s="183"/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  <c r="M977" s="183"/>
      <c r="N977" s="184"/>
      <c r="O977" s="184"/>
      <c r="P977" s="184"/>
      <c r="Q977" s="184"/>
      <c r="R977" s="184"/>
      <c r="S977" s="183"/>
      <c r="T977" s="183"/>
    </row>
    <row r="978">
      <c r="A978" s="183"/>
      <c r="B978" s="183"/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  <c r="M978" s="183"/>
      <c r="N978" s="184"/>
      <c r="O978" s="184"/>
      <c r="P978" s="184"/>
      <c r="Q978" s="184"/>
      <c r="R978" s="184"/>
      <c r="S978" s="183"/>
      <c r="T978" s="183"/>
    </row>
    <row r="979">
      <c r="A979" s="183"/>
      <c r="B979" s="183"/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  <c r="M979" s="183"/>
      <c r="N979" s="184"/>
      <c r="O979" s="184"/>
      <c r="P979" s="184"/>
      <c r="Q979" s="184"/>
      <c r="R979" s="184"/>
      <c r="S979" s="183"/>
      <c r="T979" s="183"/>
    </row>
    <row r="980">
      <c r="A980" s="183"/>
      <c r="B980" s="183"/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  <c r="M980" s="183"/>
      <c r="N980" s="184"/>
      <c r="O980" s="184"/>
      <c r="P980" s="184"/>
      <c r="Q980" s="184"/>
      <c r="R980" s="184"/>
      <c r="S980" s="183"/>
      <c r="T980" s="183"/>
    </row>
    <row r="981">
      <c r="A981" s="183"/>
      <c r="B981" s="183"/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  <c r="M981" s="183"/>
      <c r="N981" s="184"/>
      <c r="O981" s="184"/>
      <c r="P981" s="184"/>
      <c r="Q981" s="184"/>
      <c r="R981" s="184"/>
      <c r="S981" s="183"/>
      <c r="T981" s="183"/>
    </row>
    <row r="982">
      <c r="A982" s="183"/>
      <c r="B982" s="183"/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  <c r="M982" s="183"/>
      <c r="N982" s="184"/>
      <c r="O982" s="184"/>
      <c r="P982" s="184"/>
      <c r="Q982" s="184"/>
      <c r="R982" s="184"/>
      <c r="S982" s="183"/>
      <c r="T982" s="183"/>
    </row>
    <row r="983">
      <c r="A983" s="183"/>
      <c r="B983" s="183"/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  <c r="M983" s="183"/>
      <c r="N983" s="184"/>
      <c r="O983" s="184"/>
      <c r="P983" s="184"/>
      <c r="Q983" s="184"/>
      <c r="R983" s="184"/>
      <c r="S983" s="183"/>
      <c r="T983" s="183"/>
    </row>
    <row r="984">
      <c r="A984" s="183"/>
      <c r="B984" s="183"/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  <c r="M984" s="183"/>
      <c r="N984" s="184"/>
      <c r="O984" s="184"/>
      <c r="P984" s="184"/>
      <c r="Q984" s="184"/>
      <c r="R984" s="184"/>
      <c r="S984" s="183"/>
      <c r="T984" s="183"/>
    </row>
    <row r="985">
      <c r="A985" s="183"/>
      <c r="B985" s="183"/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  <c r="M985" s="183"/>
      <c r="N985" s="184"/>
      <c r="O985" s="184"/>
      <c r="P985" s="184"/>
      <c r="Q985" s="184"/>
      <c r="R985" s="184"/>
      <c r="S985" s="183"/>
      <c r="T985" s="183"/>
    </row>
    <row r="986">
      <c r="A986" s="183"/>
      <c r="B986" s="183"/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  <c r="M986" s="183"/>
      <c r="N986" s="184"/>
      <c r="O986" s="184"/>
      <c r="P986" s="184"/>
      <c r="Q986" s="184"/>
      <c r="R986" s="184"/>
      <c r="S986" s="183"/>
      <c r="T986" s="183"/>
    </row>
    <row r="987">
      <c r="A987" s="183"/>
      <c r="B987" s="183"/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  <c r="M987" s="183"/>
      <c r="N987" s="184"/>
      <c r="O987" s="184"/>
      <c r="P987" s="184"/>
      <c r="Q987" s="184"/>
      <c r="R987" s="184"/>
      <c r="S987" s="183"/>
      <c r="T987" s="183"/>
    </row>
    <row r="988">
      <c r="A988" s="183"/>
      <c r="B988" s="183"/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  <c r="M988" s="183"/>
      <c r="N988" s="184"/>
      <c r="O988" s="184"/>
      <c r="P988" s="184"/>
      <c r="Q988" s="184"/>
      <c r="R988" s="184"/>
      <c r="S988" s="183"/>
      <c r="T988" s="183"/>
    </row>
    <row r="989">
      <c r="A989" s="183"/>
      <c r="B989" s="183"/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  <c r="M989" s="183"/>
      <c r="N989" s="184"/>
      <c r="O989" s="184"/>
      <c r="P989" s="184"/>
      <c r="Q989" s="184"/>
      <c r="R989" s="184"/>
      <c r="S989" s="183"/>
      <c r="T989" s="183"/>
    </row>
    <row r="990">
      <c r="A990" s="183"/>
      <c r="B990" s="183"/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  <c r="M990" s="183"/>
      <c r="N990" s="184"/>
      <c r="O990" s="184"/>
      <c r="P990" s="184"/>
      <c r="Q990" s="184"/>
      <c r="R990" s="184"/>
      <c r="S990" s="183"/>
      <c r="T990" s="183"/>
    </row>
    <row r="991">
      <c r="A991" s="183"/>
      <c r="B991" s="183"/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4"/>
      <c r="O991" s="184"/>
      <c r="P991" s="184"/>
      <c r="Q991" s="184"/>
      <c r="R991" s="184"/>
      <c r="S991" s="183"/>
      <c r="T991" s="183"/>
    </row>
    <row r="992">
      <c r="A992" s="183"/>
      <c r="B992" s="183"/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4"/>
      <c r="O992" s="184"/>
      <c r="P992" s="184"/>
      <c r="Q992" s="184"/>
      <c r="R992" s="184"/>
      <c r="S992" s="183"/>
      <c r="T992" s="183"/>
    </row>
    <row r="993">
      <c r="A993" s="183"/>
      <c r="B993" s="183"/>
      <c r="C993" s="183"/>
      <c r="D993" s="183"/>
      <c r="E993" s="183"/>
      <c r="F993" s="183"/>
      <c r="G993" s="183"/>
      <c r="H993" s="183"/>
      <c r="I993" s="183"/>
      <c r="J993" s="183"/>
      <c r="K993" s="183"/>
      <c r="L993" s="183"/>
      <c r="M993" s="183"/>
      <c r="N993" s="184"/>
      <c r="O993" s="184"/>
      <c r="P993" s="184"/>
      <c r="Q993" s="184"/>
      <c r="R993" s="184"/>
      <c r="S993" s="183"/>
      <c r="T993" s="183"/>
    </row>
    <row r="994">
      <c r="A994" s="183"/>
      <c r="B994" s="18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183"/>
      <c r="N994" s="184"/>
      <c r="O994" s="184"/>
      <c r="P994" s="184"/>
      <c r="Q994" s="184"/>
      <c r="R994" s="184"/>
      <c r="S994" s="183"/>
      <c r="T994" s="183"/>
    </row>
    <row r="995">
      <c r="A995" s="183"/>
      <c r="B995" s="18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183"/>
      <c r="N995" s="184"/>
      <c r="O995" s="184"/>
      <c r="P995" s="184"/>
      <c r="Q995" s="184"/>
      <c r="R995" s="184"/>
      <c r="S995" s="183"/>
      <c r="T995" s="183"/>
    </row>
    <row r="996">
      <c r="A996" s="183"/>
      <c r="B996" s="18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4"/>
      <c r="O996" s="184"/>
      <c r="P996" s="184"/>
      <c r="Q996" s="184"/>
      <c r="R996" s="184"/>
      <c r="S996" s="183"/>
      <c r="T996" s="183"/>
    </row>
    <row r="997">
      <c r="A997" s="183"/>
      <c r="B997" s="183"/>
      <c r="C997" s="183"/>
      <c r="D997" s="183"/>
      <c r="E997" s="183"/>
      <c r="F997" s="183"/>
      <c r="G997" s="183"/>
      <c r="H997" s="183"/>
      <c r="I997" s="183"/>
      <c r="J997" s="183"/>
      <c r="K997" s="183"/>
      <c r="L997" s="183"/>
      <c r="M997" s="183"/>
      <c r="N997" s="184"/>
      <c r="O997" s="184"/>
      <c r="P997" s="184"/>
      <c r="Q997" s="184"/>
      <c r="R997" s="184"/>
      <c r="S997" s="183"/>
      <c r="T997" s="183"/>
    </row>
    <row r="998">
      <c r="A998" s="183"/>
      <c r="B998" s="183"/>
      <c r="C998" s="183"/>
      <c r="D998" s="183"/>
      <c r="E998" s="183"/>
      <c r="F998" s="183"/>
      <c r="G998" s="183"/>
      <c r="H998" s="183"/>
      <c r="I998" s="183"/>
      <c r="J998" s="183"/>
      <c r="K998" s="183"/>
      <c r="L998" s="183"/>
      <c r="M998" s="183"/>
      <c r="N998" s="184"/>
      <c r="O998" s="184"/>
      <c r="P998" s="184"/>
      <c r="Q998" s="184"/>
      <c r="R998" s="184"/>
      <c r="S998" s="183"/>
      <c r="T998" s="183"/>
    </row>
    <row r="999">
      <c r="A999" s="183"/>
      <c r="B999" s="183"/>
      <c r="C999" s="183"/>
      <c r="D999" s="183"/>
      <c r="E999" s="183"/>
      <c r="F999" s="183"/>
      <c r="G999" s="183"/>
      <c r="H999" s="183"/>
      <c r="I999" s="183"/>
      <c r="J999" s="183"/>
      <c r="K999" s="183"/>
      <c r="L999" s="183"/>
      <c r="M999" s="183"/>
      <c r="N999" s="184"/>
      <c r="O999" s="184"/>
      <c r="P999" s="184"/>
      <c r="Q999" s="184"/>
      <c r="R999" s="184"/>
      <c r="S999" s="183"/>
      <c r="T999" s="183"/>
    </row>
  </sheetData>
  <mergeCells count="6">
    <mergeCell ref="B2:F2"/>
    <mergeCell ref="H2:L2"/>
    <mergeCell ref="N2:R2"/>
    <mergeCell ref="N9:Q9"/>
    <mergeCell ref="N10:O10"/>
    <mergeCell ref="P10:Q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4.5"/>
    <col customWidth="1" min="3" max="3" width="13.13"/>
    <col customWidth="1" min="4" max="4" width="9.88"/>
    <col customWidth="1" min="5" max="5" width="7.63"/>
  </cols>
  <sheetData>
    <row r="1">
      <c r="A1" s="221" t="s">
        <v>615</v>
      </c>
    </row>
    <row r="2">
      <c r="A2" s="222" t="s">
        <v>44</v>
      </c>
      <c r="B2" s="223" t="s">
        <v>264</v>
      </c>
      <c r="C2" s="223" t="s">
        <v>616</v>
      </c>
      <c r="D2" s="224" t="s">
        <v>309</v>
      </c>
      <c r="E2" s="223" t="s">
        <v>617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idden="1">
      <c r="A3" s="225" t="s">
        <v>618</v>
      </c>
      <c r="B3" s="225" t="s">
        <v>619</v>
      </c>
      <c r="C3" s="225" t="s">
        <v>341</v>
      </c>
      <c r="D3" s="226" t="s">
        <v>319</v>
      </c>
      <c r="E3" s="227">
        <v>45931.0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idden="1">
      <c r="A4" s="225" t="s">
        <v>620</v>
      </c>
      <c r="B4" s="225" t="s">
        <v>621</v>
      </c>
      <c r="C4" s="225" t="s">
        <v>339</v>
      </c>
      <c r="D4" s="226" t="s">
        <v>319</v>
      </c>
      <c r="E4" s="227">
        <v>45931.0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idden="1">
      <c r="A5" s="225" t="s">
        <v>622</v>
      </c>
      <c r="B5" s="225" t="s">
        <v>623</v>
      </c>
      <c r="C5" s="225" t="s">
        <v>624</v>
      </c>
      <c r="D5" s="226" t="s">
        <v>319</v>
      </c>
      <c r="E5" s="227">
        <v>45931.0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idden="1">
      <c r="A6" s="225" t="s">
        <v>622</v>
      </c>
      <c r="B6" s="225" t="s">
        <v>623</v>
      </c>
      <c r="C6" s="225" t="s">
        <v>625</v>
      </c>
      <c r="D6" s="226" t="s">
        <v>319</v>
      </c>
      <c r="E6" s="227">
        <v>45962.0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idden="1">
      <c r="A7" s="225" t="s">
        <v>399</v>
      </c>
      <c r="B7" s="225" t="s">
        <v>626</v>
      </c>
      <c r="C7" s="225" t="s">
        <v>341</v>
      </c>
      <c r="D7" s="226" t="s">
        <v>319</v>
      </c>
      <c r="E7" s="228" t="s">
        <v>627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idden="1">
      <c r="A8" s="225" t="s">
        <v>399</v>
      </c>
      <c r="B8" s="225" t="s">
        <v>628</v>
      </c>
      <c r="C8" s="225" t="s">
        <v>341</v>
      </c>
      <c r="D8" s="226" t="s">
        <v>319</v>
      </c>
      <c r="E8" s="229" t="s">
        <v>627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idden="1">
      <c r="A9" s="225" t="s">
        <v>399</v>
      </c>
      <c r="B9" s="225" t="s">
        <v>629</v>
      </c>
      <c r="C9" s="225" t="s">
        <v>323</v>
      </c>
      <c r="D9" s="226" t="s">
        <v>319</v>
      </c>
      <c r="E9" s="229" t="s">
        <v>627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idden="1">
      <c r="A10" s="225" t="s">
        <v>399</v>
      </c>
      <c r="B10" s="225" t="s">
        <v>630</v>
      </c>
      <c r="C10" s="225" t="s">
        <v>323</v>
      </c>
      <c r="D10" s="226" t="s">
        <v>319</v>
      </c>
      <c r="E10" s="229" t="s">
        <v>627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idden="1">
      <c r="A11" s="225" t="s">
        <v>399</v>
      </c>
      <c r="B11" s="225" t="s">
        <v>574</v>
      </c>
      <c r="C11" s="225" t="s">
        <v>323</v>
      </c>
      <c r="D11" s="226" t="s">
        <v>319</v>
      </c>
      <c r="E11" s="228" t="s">
        <v>627</v>
      </c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hidden="1">
      <c r="A12" s="225" t="s">
        <v>399</v>
      </c>
      <c r="B12" s="225" t="s">
        <v>631</v>
      </c>
      <c r="C12" s="225" t="s">
        <v>323</v>
      </c>
      <c r="D12" s="226" t="s">
        <v>319</v>
      </c>
      <c r="E12" s="228" t="s">
        <v>627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idden="1">
      <c r="A13" s="225" t="s">
        <v>399</v>
      </c>
      <c r="B13" s="225" t="s">
        <v>632</v>
      </c>
      <c r="C13" s="225" t="s">
        <v>341</v>
      </c>
      <c r="D13" s="226" t="s">
        <v>319</v>
      </c>
      <c r="E13" s="228" t="s">
        <v>627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idden="1">
      <c r="A14" s="225" t="s">
        <v>399</v>
      </c>
      <c r="B14" s="225" t="s">
        <v>633</v>
      </c>
      <c r="C14" s="225" t="s">
        <v>323</v>
      </c>
      <c r="D14" s="226" t="s">
        <v>319</v>
      </c>
      <c r="E14" s="228" t="s">
        <v>627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idden="1">
      <c r="A15" s="225" t="s">
        <v>399</v>
      </c>
      <c r="B15" s="225" t="s">
        <v>634</v>
      </c>
      <c r="C15" s="225" t="s">
        <v>323</v>
      </c>
      <c r="D15" s="226" t="s">
        <v>319</v>
      </c>
      <c r="E15" s="228" t="s">
        <v>627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idden="1">
      <c r="A16" s="225" t="s">
        <v>635</v>
      </c>
      <c r="B16" s="225" t="s">
        <v>636</v>
      </c>
      <c r="C16" s="225" t="s">
        <v>341</v>
      </c>
      <c r="D16" s="226" t="s">
        <v>319</v>
      </c>
      <c r="E16" s="228" t="s">
        <v>627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idden="1">
      <c r="A17" s="225" t="s">
        <v>622</v>
      </c>
      <c r="B17" s="225" t="s">
        <v>637</v>
      </c>
      <c r="C17" s="225" t="s">
        <v>323</v>
      </c>
      <c r="D17" s="226" t="s">
        <v>319</v>
      </c>
      <c r="E17" s="228" t="s">
        <v>627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idden="1">
      <c r="A18" s="225" t="s">
        <v>638</v>
      </c>
      <c r="B18" s="225" t="s">
        <v>639</v>
      </c>
      <c r="C18" s="225" t="s">
        <v>339</v>
      </c>
      <c r="D18" s="226" t="s">
        <v>319</v>
      </c>
      <c r="E18" s="228" t="s">
        <v>640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idden="1">
      <c r="A19" s="225" t="s">
        <v>641</v>
      </c>
      <c r="B19" s="225" t="s">
        <v>642</v>
      </c>
      <c r="C19" s="225" t="s">
        <v>339</v>
      </c>
      <c r="D19" s="226" t="s">
        <v>319</v>
      </c>
      <c r="E19" s="228" t="s">
        <v>640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idden="1">
      <c r="A20" s="225" t="s">
        <v>641</v>
      </c>
      <c r="B20" s="225" t="s">
        <v>643</v>
      </c>
      <c r="C20" s="225" t="s">
        <v>339</v>
      </c>
      <c r="D20" s="226" t="s">
        <v>319</v>
      </c>
      <c r="E20" s="228" t="s">
        <v>640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idden="1">
      <c r="A21" s="225" t="s">
        <v>622</v>
      </c>
      <c r="B21" s="225" t="s">
        <v>644</v>
      </c>
      <c r="C21" s="225" t="s">
        <v>323</v>
      </c>
      <c r="D21" s="226" t="s">
        <v>428</v>
      </c>
      <c r="E21" s="227">
        <v>45962.0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25" t="s">
        <v>24</v>
      </c>
      <c r="B22" s="225" t="s">
        <v>645</v>
      </c>
      <c r="C22" s="225" t="s">
        <v>646</v>
      </c>
      <c r="D22" s="226" t="s">
        <v>647</v>
      </c>
      <c r="E22" s="227">
        <v>45992.0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25" t="s">
        <v>24</v>
      </c>
      <c r="B23" s="225" t="s">
        <v>648</v>
      </c>
      <c r="C23" s="225" t="s">
        <v>646</v>
      </c>
      <c r="D23" s="226" t="s">
        <v>647</v>
      </c>
      <c r="E23" s="227">
        <v>45992.0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25" t="s">
        <v>649</v>
      </c>
      <c r="B24" s="225" t="s">
        <v>650</v>
      </c>
      <c r="C24" s="225" t="s">
        <v>646</v>
      </c>
      <c r="D24" s="226" t="s">
        <v>647</v>
      </c>
      <c r="E24" s="227">
        <v>45992.0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25" t="s">
        <v>651</v>
      </c>
      <c r="B25" s="225" t="s">
        <v>652</v>
      </c>
      <c r="C25" s="225" t="s">
        <v>646</v>
      </c>
      <c r="D25" s="226" t="s">
        <v>647</v>
      </c>
      <c r="E25" s="227">
        <v>45992.0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25" t="s">
        <v>653</v>
      </c>
      <c r="B26" s="225" t="s">
        <v>654</v>
      </c>
      <c r="C26" s="225" t="s">
        <v>646</v>
      </c>
      <c r="D26" s="226" t="s">
        <v>647</v>
      </c>
      <c r="E26" s="228">
        <v>2026.0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idden="1">
      <c r="A27" s="225" t="s">
        <v>399</v>
      </c>
      <c r="B27" s="225" t="s">
        <v>655</v>
      </c>
      <c r="C27" s="225" t="s">
        <v>12</v>
      </c>
      <c r="D27" s="226" t="s">
        <v>647</v>
      </c>
      <c r="E27" s="228">
        <v>2026.0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idden="1">
      <c r="A28" s="225" t="s">
        <v>399</v>
      </c>
      <c r="B28" s="225" t="s">
        <v>656</v>
      </c>
      <c r="C28" s="225" t="s">
        <v>12</v>
      </c>
      <c r="D28" s="226" t="s">
        <v>647</v>
      </c>
      <c r="E28" s="228">
        <v>2026.0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idden="1">
      <c r="A29" s="225" t="s">
        <v>399</v>
      </c>
      <c r="B29" s="225" t="s">
        <v>657</v>
      </c>
      <c r="C29" s="225" t="s">
        <v>12</v>
      </c>
      <c r="D29" s="226" t="s">
        <v>647</v>
      </c>
      <c r="E29" s="228">
        <v>2026.0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idden="1">
      <c r="A30" s="225" t="s">
        <v>399</v>
      </c>
      <c r="B30" s="225" t="s">
        <v>658</v>
      </c>
      <c r="C30" s="225" t="s">
        <v>12</v>
      </c>
      <c r="D30" s="226" t="s">
        <v>647</v>
      </c>
      <c r="E30" s="228">
        <v>2026.0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idden="1">
      <c r="A31" s="225" t="s">
        <v>399</v>
      </c>
      <c r="B31" s="225" t="s">
        <v>659</v>
      </c>
      <c r="C31" s="225" t="s">
        <v>12</v>
      </c>
      <c r="D31" s="226" t="s">
        <v>647</v>
      </c>
      <c r="E31" s="228">
        <v>2026.0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idden="1">
      <c r="A32" s="225" t="s">
        <v>399</v>
      </c>
      <c r="B32" s="225" t="s">
        <v>660</v>
      </c>
      <c r="C32" s="225" t="s">
        <v>12</v>
      </c>
      <c r="D32" s="226" t="s">
        <v>647</v>
      </c>
      <c r="E32" s="228">
        <v>2026.0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idden="1">
      <c r="A33" s="225" t="s">
        <v>399</v>
      </c>
      <c r="B33" s="225" t="s">
        <v>661</v>
      </c>
      <c r="C33" s="225" t="s">
        <v>12</v>
      </c>
      <c r="D33" s="226" t="s">
        <v>647</v>
      </c>
      <c r="E33" s="228">
        <v>2026.0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idden="1">
      <c r="A34" s="225" t="s">
        <v>399</v>
      </c>
      <c r="B34" s="225" t="s">
        <v>662</v>
      </c>
      <c r="C34" s="225" t="s">
        <v>12</v>
      </c>
      <c r="D34" s="226" t="s">
        <v>647</v>
      </c>
      <c r="E34" s="228">
        <v>2026.0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idden="1">
      <c r="A35" s="225" t="s">
        <v>399</v>
      </c>
      <c r="B35" s="225" t="s">
        <v>663</v>
      </c>
      <c r="C35" s="225" t="s">
        <v>12</v>
      </c>
      <c r="D35" s="226" t="s">
        <v>647</v>
      </c>
      <c r="E35" s="228">
        <v>2026.0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idden="1">
      <c r="A36" s="225" t="s">
        <v>399</v>
      </c>
      <c r="B36" s="225" t="s">
        <v>664</v>
      </c>
      <c r="C36" s="225" t="s">
        <v>12</v>
      </c>
      <c r="D36" s="226" t="s">
        <v>647</v>
      </c>
      <c r="E36" s="228">
        <v>2026.0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idden="1">
      <c r="A37" s="225" t="s">
        <v>399</v>
      </c>
      <c r="B37" s="225" t="s">
        <v>665</v>
      </c>
      <c r="C37" s="225" t="s">
        <v>12</v>
      </c>
      <c r="D37" s="226" t="s">
        <v>647</v>
      </c>
      <c r="E37" s="228">
        <v>2026.0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225" t="s">
        <v>399</v>
      </c>
      <c r="B38" s="225" t="s">
        <v>666</v>
      </c>
      <c r="C38" s="225" t="s">
        <v>12</v>
      </c>
      <c r="D38" s="226" t="s">
        <v>647</v>
      </c>
      <c r="E38" s="228">
        <v>2026.0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225" t="s">
        <v>399</v>
      </c>
      <c r="B39" s="225" t="s">
        <v>667</v>
      </c>
      <c r="C39" s="225" t="s">
        <v>12</v>
      </c>
      <c r="D39" s="226" t="s">
        <v>647</v>
      </c>
      <c r="E39" s="228">
        <v>2026.0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idden="1">
      <c r="A40" s="225" t="s">
        <v>399</v>
      </c>
      <c r="B40" s="225" t="s">
        <v>668</v>
      </c>
      <c r="C40" s="225" t="s">
        <v>12</v>
      </c>
      <c r="D40" s="226" t="s">
        <v>647</v>
      </c>
      <c r="E40" s="228">
        <v>2026.0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idden="1">
      <c r="A41" s="225" t="s">
        <v>399</v>
      </c>
      <c r="B41" s="225" t="s">
        <v>669</v>
      </c>
      <c r="C41" s="225" t="s">
        <v>12</v>
      </c>
      <c r="D41" s="226" t="s">
        <v>647</v>
      </c>
      <c r="E41" s="228">
        <v>2026.0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idden="1">
      <c r="A42" s="225" t="s">
        <v>399</v>
      </c>
      <c r="B42" s="225" t="s">
        <v>670</v>
      </c>
      <c r="C42" s="225" t="s">
        <v>12</v>
      </c>
      <c r="D42" s="226" t="s">
        <v>647</v>
      </c>
      <c r="E42" s="228">
        <v>2026.0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idden="1">
      <c r="A43" s="225" t="s">
        <v>399</v>
      </c>
      <c r="B43" s="225" t="s">
        <v>671</v>
      </c>
      <c r="C43" s="225" t="s">
        <v>12</v>
      </c>
      <c r="D43" s="226" t="s">
        <v>647</v>
      </c>
      <c r="E43" s="228">
        <v>2026.0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idden="1">
      <c r="A44" s="225" t="s">
        <v>399</v>
      </c>
      <c r="B44" s="225" t="s">
        <v>672</v>
      </c>
      <c r="C44" s="225" t="s">
        <v>12</v>
      </c>
      <c r="D44" s="226" t="s">
        <v>647</v>
      </c>
      <c r="E44" s="228">
        <v>2026.0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idden="1">
      <c r="A45" s="225" t="s">
        <v>399</v>
      </c>
      <c r="B45" s="225" t="s">
        <v>362</v>
      </c>
      <c r="C45" s="225" t="s">
        <v>12</v>
      </c>
      <c r="D45" s="226" t="s">
        <v>647</v>
      </c>
      <c r="E45" s="228">
        <v>2026.0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idden="1">
      <c r="A46" s="225" t="s">
        <v>673</v>
      </c>
      <c r="B46" s="225" t="s">
        <v>674</v>
      </c>
      <c r="C46" s="225" t="s">
        <v>12</v>
      </c>
      <c r="D46" s="226" t="s">
        <v>647</v>
      </c>
      <c r="E46" s="228">
        <v>2026.0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idden="1">
      <c r="A47" s="225" t="s">
        <v>673</v>
      </c>
      <c r="B47" s="225" t="s">
        <v>675</v>
      </c>
      <c r="C47" s="225" t="s">
        <v>12</v>
      </c>
      <c r="D47" s="226" t="s">
        <v>647</v>
      </c>
      <c r="E47" s="228">
        <v>2026.0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idden="1">
      <c r="A48" s="225" t="s">
        <v>673</v>
      </c>
      <c r="B48" s="225" t="s">
        <v>676</v>
      </c>
      <c r="C48" s="225" t="s">
        <v>12</v>
      </c>
      <c r="D48" s="226" t="s">
        <v>647</v>
      </c>
      <c r="E48" s="228">
        <v>2026.0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idden="1">
      <c r="A49" s="225" t="s">
        <v>673</v>
      </c>
      <c r="B49" s="225" t="s">
        <v>677</v>
      </c>
      <c r="C49" s="225" t="s">
        <v>12</v>
      </c>
      <c r="D49" s="226" t="s">
        <v>647</v>
      </c>
      <c r="E49" s="228">
        <v>2026.0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idden="1">
      <c r="A50" s="225" t="s">
        <v>399</v>
      </c>
      <c r="B50" s="225" t="s">
        <v>678</v>
      </c>
      <c r="C50" s="225" t="s">
        <v>12</v>
      </c>
      <c r="D50" s="226" t="s">
        <v>647</v>
      </c>
      <c r="E50" s="228">
        <v>2026.0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5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5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5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5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5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5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5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5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5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5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5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5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5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5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5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5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5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5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5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5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5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5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5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5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5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5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5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5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5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5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5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5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5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5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5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5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5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5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5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5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5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5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5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5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5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5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5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5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5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5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5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5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5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5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5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5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5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5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5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5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5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5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5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5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5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5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5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5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5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5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5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5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5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5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5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5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5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5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5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5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5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5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5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5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5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5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5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5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5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5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5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5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5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5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5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5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5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5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5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5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5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5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5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5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5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5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5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5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5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5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5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5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5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5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5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5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5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5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5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5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5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5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5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5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5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5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5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5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5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5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5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5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5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5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5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5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5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5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5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5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5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5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5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5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5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5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5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5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5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5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5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5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5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5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5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5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5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5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5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5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5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5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5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5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5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5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5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5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5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5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5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5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5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5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5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5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5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5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5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5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5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5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5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5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5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5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5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5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5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5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5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5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5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5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5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5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5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5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5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5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5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5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5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5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5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5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5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5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5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5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5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5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5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5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5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5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5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5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5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5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5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5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5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5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5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5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5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5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5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5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5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5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5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5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5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5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5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5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5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5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5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5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5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5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5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5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5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5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5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5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5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5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5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5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5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5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5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5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5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5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5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5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5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5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5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5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5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5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5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5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5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5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5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5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5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5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5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5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5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5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5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5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5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5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5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5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5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5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5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5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5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5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5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5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5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5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5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5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5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5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5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5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5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5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5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5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5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5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5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5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5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5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5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5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5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5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5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5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5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5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5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5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5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5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5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5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5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5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5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5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5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5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5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5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5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5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5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5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5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5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5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5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5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5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5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5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5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5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5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5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5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5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5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5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5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5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5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5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5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5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5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5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5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5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5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5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5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5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5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5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5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5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5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5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5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5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5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5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5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5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5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5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5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5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5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5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5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5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5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5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5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5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5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5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5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5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5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5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5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5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5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5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5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5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5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5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5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5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5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5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5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5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5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5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5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5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5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5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5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5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5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5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5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5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5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5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5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5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5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5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5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5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5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5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5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5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5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5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5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5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5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5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5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5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5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5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5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5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5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5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5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5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5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5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5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5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5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5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5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5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5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5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5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5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5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5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5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5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5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5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5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5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5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5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5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5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5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5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5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5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5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5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5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5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5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5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5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5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5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5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5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5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5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5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5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5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5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5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5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5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5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5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5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5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5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5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5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5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5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5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5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5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5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5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5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5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5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5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5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5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5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5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5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5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5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5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5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5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5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5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5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5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5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5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5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5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5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5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5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5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5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5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5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5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5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5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5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5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5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5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5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5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5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5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5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5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5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5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5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5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5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5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5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5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5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5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5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5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5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5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5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5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5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5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5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5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5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5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5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5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5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5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5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5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5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5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5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5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5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5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5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5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5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5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5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5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5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5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5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5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5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5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5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5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5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5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5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5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5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5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5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5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5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5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5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5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5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5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5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5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5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5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5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5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5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5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5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5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5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5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5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5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5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5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5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5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5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5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5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5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5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5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5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5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5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5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5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5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5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5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5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5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5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5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5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5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5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5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5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5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5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5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5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5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5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5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5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5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5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5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5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5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5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5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5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5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5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5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5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5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5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5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5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5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5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5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5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5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5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5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5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5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5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5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5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5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5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5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5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5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5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5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5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5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5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5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5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5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5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5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5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5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5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5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5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5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5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5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5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5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5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5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5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5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5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5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5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5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5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5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5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5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5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5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5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5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5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5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5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5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5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5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5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5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5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5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5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5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5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5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5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5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5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5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5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5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5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5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5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5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5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5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5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5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5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5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5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5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5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5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5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5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5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5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5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5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5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5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5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5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5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5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5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5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5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5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5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5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5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5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5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5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5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5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5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5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5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5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5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5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5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5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5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5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5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5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5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5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5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5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5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5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5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5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5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5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5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5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5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5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5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5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5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5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5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5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5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5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5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5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5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5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5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5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5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5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5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5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5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5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5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5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5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5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5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5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5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5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5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5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5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5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5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5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5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5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5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5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5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5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5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5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5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5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5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5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5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5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5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5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5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5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5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5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5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5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5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5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5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5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5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5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5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5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5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5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5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5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5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5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5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5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5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5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5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5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5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5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5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5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5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5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5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5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5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5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5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5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5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5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5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5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5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5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5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5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5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5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5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5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5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5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5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5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5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5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5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5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5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5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5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5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5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5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5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5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5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5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5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</sheetData>
  <autoFilter ref="$A$2:$E$50">
    <filterColumn colId="3">
      <filters>
        <filter val="TO DO"/>
        <filter val="Doing"/>
      </filters>
    </filterColumn>
    <filterColumn colId="2">
      <filters>
        <filter val="Thi"/>
        <filter val="Carina"/>
        <filter val="Kell"/>
        <filter val="Pesquisa"/>
        <filter val="Ca"/>
      </filters>
    </filterColumn>
    <sortState ref="A2:E50">
      <sortCondition ref="D2:D50"/>
      <sortCondition descending="1" ref="E2:E50"/>
    </sortState>
  </autoFilter>
  <mergeCells count="1">
    <mergeCell ref="A1:E1"/>
  </mergeCells>
  <dataValidations>
    <dataValidation type="list" allowBlank="1" showErrorMessage="1" sqref="D3:D50">
      <formula1>"TO DO,Doing,Done"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9" width="5.13"/>
  </cols>
  <sheetData>
    <row r="1">
      <c r="A1" s="183"/>
      <c r="B1" s="230" t="s">
        <v>306</v>
      </c>
      <c r="C1" s="60"/>
      <c r="D1" s="60"/>
      <c r="E1" s="23"/>
      <c r="F1" s="230" t="s">
        <v>307</v>
      </c>
      <c r="G1" s="60"/>
      <c r="H1" s="60"/>
      <c r="I1" s="23"/>
    </row>
    <row r="2">
      <c r="A2" s="231"/>
      <c r="B2" s="232" t="s">
        <v>313</v>
      </c>
      <c r="C2" s="232" t="s">
        <v>314</v>
      </c>
      <c r="D2" s="232" t="s">
        <v>311</v>
      </c>
      <c r="E2" s="232" t="s">
        <v>312</v>
      </c>
      <c r="F2" s="232" t="s">
        <v>313</v>
      </c>
      <c r="G2" s="232" t="s">
        <v>314</v>
      </c>
      <c r="H2" s="232" t="s">
        <v>311</v>
      </c>
      <c r="I2" s="232" t="s">
        <v>314</v>
      </c>
    </row>
    <row r="3">
      <c r="A3" s="233" t="s">
        <v>184</v>
      </c>
      <c r="B3" s="234">
        <f>COUNTIFS(Weekly!$C:$C, $A3, Weekly!AB:AB, "x")</f>
        <v>9</v>
      </c>
      <c r="C3" s="234">
        <f>COUNTIFS(Weekly!$C:$C, $A3, Weekly!AC:AC, "x")</f>
        <v>6</v>
      </c>
      <c r="D3" s="234">
        <f>COUNTIFS(Weekly!$C:$C, $A3, Weekly!AD:AD, "x")</f>
        <v>6</v>
      </c>
      <c r="E3" s="234">
        <f>COUNTIFS(Weekly!$C:$C, $A3, Weekly!AE:AE, "x")</f>
        <v>8</v>
      </c>
      <c r="F3" s="234">
        <f>COUNTIFS(Weekly!$C:$C, $A3, Weekly!AF:AF, "x")</f>
        <v>9</v>
      </c>
      <c r="G3" s="234">
        <f>COUNTIFS(Weekly!$C:$C, $A3, Weekly!AG:AG, "x")</f>
        <v>9</v>
      </c>
      <c r="H3" s="234">
        <f>COUNTIFS(Weekly!$C:$C, $A3, Weekly!AH:AH, "x")</f>
        <v>10</v>
      </c>
      <c r="I3" s="235" t="str">
        <f>COUNTIFS(Weekly!$C:$C, $A3, Weekly!AN:AN, "x")</f>
        <v>#VALUE!</v>
      </c>
    </row>
    <row r="4">
      <c r="A4" s="233" t="s">
        <v>101</v>
      </c>
      <c r="B4" s="234">
        <f>COUNTIFS(Weekly!$C:$C, $A4, Weekly!AB:AB, "x")</f>
        <v>13</v>
      </c>
      <c r="C4" s="234">
        <f>COUNTIFS(Weekly!$C:$C, $A4, Weekly!AC:AC, "x")</f>
        <v>14</v>
      </c>
      <c r="D4" s="234">
        <f>COUNTIFS(Weekly!$C:$C, $A4, Weekly!AD:AD, "x")</f>
        <v>10</v>
      </c>
      <c r="E4" s="234">
        <f>COUNTIFS(Weekly!$C:$C, $A4, Weekly!AE:AE, "x")</f>
        <v>11</v>
      </c>
      <c r="F4" s="234">
        <f>COUNTIFS(Weekly!$C:$C, $A4, Weekly!AF:AF, "x")</f>
        <v>11</v>
      </c>
      <c r="G4" s="234">
        <f>COUNTIFS(Weekly!$C:$C, $A4, Weekly!AG:AG, "x")</f>
        <v>9</v>
      </c>
      <c r="H4" s="234">
        <f>COUNTIFS(Weekly!$C:$C, $A4, Weekly!AH:AH, "x")</f>
        <v>9</v>
      </c>
      <c r="I4" s="235" t="str">
        <f>COUNTIFS(Weekly!$C:$C, $A4, Weekly!AN:AN, "x")</f>
        <v>#VALUE!</v>
      </c>
    </row>
    <row r="5">
      <c r="A5" s="233" t="s">
        <v>208</v>
      </c>
      <c r="B5" s="234">
        <f>COUNTIFS(Weekly!$C:$C, $A5, Weekly!AB:AB, "x")</f>
        <v>8</v>
      </c>
      <c r="C5" s="234">
        <f>COUNTIFS(Weekly!$C:$C, $A5, Weekly!AC:AC, "x")</f>
        <v>8</v>
      </c>
      <c r="D5" s="234">
        <f>COUNTIFS(Weekly!$C:$C, $A5, Weekly!AD:AD, "x")</f>
        <v>8</v>
      </c>
      <c r="E5" s="234">
        <f>COUNTIFS(Weekly!$C:$C, $A5, Weekly!AE:AE, "x")</f>
        <v>5</v>
      </c>
      <c r="F5" s="234">
        <f>COUNTIFS(Weekly!$C:$C, $A5, Weekly!AF:AF, "x")</f>
        <v>5</v>
      </c>
      <c r="G5" s="234">
        <f>COUNTIFS(Weekly!$C:$C, $A5, Weekly!AG:AG, "x")</f>
        <v>4</v>
      </c>
      <c r="H5" s="234">
        <f>COUNTIFS(Weekly!$C:$C, $A5, Weekly!AH:AH, "x")</f>
        <v>4</v>
      </c>
      <c r="I5" s="235" t="str">
        <f>COUNTIFS(Weekly!$C:$C, $A5, Weekly!AN:AN, "x")</f>
        <v>#VALUE!</v>
      </c>
    </row>
    <row r="6">
      <c r="A6" s="233" t="s">
        <v>423</v>
      </c>
      <c r="B6" s="234">
        <f>COUNTIFS(Weekly!$C:$C, $A6, Weekly!AB:AB, "x")</f>
        <v>6</v>
      </c>
      <c r="C6" s="234">
        <f>COUNTIFS(Weekly!$C:$C, $A6, Weekly!AC:AC, "x")</f>
        <v>11</v>
      </c>
      <c r="D6" s="234">
        <f>COUNTIFS(Weekly!$C:$C, $A6, Weekly!AD:AD, "x")</f>
        <v>11</v>
      </c>
      <c r="E6" s="234">
        <f>COUNTIFS(Weekly!$C:$C, $A6, Weekly!AE:AE, "x")</f>
        <v>8</v>
      </c>
      <c r="F6" s="234">
        <f>COUNTIFS(Weekly!$C:$C, $A6, Weekly!AF:AF, "x")</f>
        <v>9</v>
      </c>
      <c r="G6" s="234">
        <f>COUNTIFS(Weekly!$C:$C, $A6, Weekly!AG:AG, "x")</f>
        <v>8</v>
      </c>
      <c r="H6" s="234">
        <f>COUNTIFS(Weekly!$C:$C, $A6, Weekly!AH:AH, "x")</f>
        <v>9</v>
      </c>
      <c r="I6" s="235" t="str">
        <f>COUNTIFS(Weekly!$C:$C, $A6, Weekly!AN:AN, "x")</f>
        <v>#VALUE!</v>
      </c>
    </row>
    <row r="7">
      <c r="A7" s="233" t="s">
        <v>171</v>
      </c>
      <c r="B7" s="234">
        <f>COUNTIFS(Weekly!$C:$C, $A7, Weekly!AB:AB, "x")</f>
        <v>3</v>
      </c>
      <c r="C7" s="234">
        <f>COUNTIFS(Weekly!$C:$C, $A7, Weekly!AC:AC, "x")</f>
        <v>6</v>
      </c>
      <c r="D7" s="234">
        <f>COUNTIFS(Weekly!$C:$C, $A7, Weekly!AD:AD, "x")</f>
        <v>6</v>
      </c>
      <c r="E7" s="234">
        <f>COUNTIFS(Weekly!$C:$C, $A7, Weekly!AE:AE, "x")</f>
        <v>2</v>
      </c>
      <c r="F7" s="234">
        <f>COUNTIFS(Weekly!$C:$C, $A7, Weekly!AF:AF, "x")</f>
        <v>5</v>
      </c>
      <c r="G7" s="234">
        <f>COUNTIFS(Weekly!$C:$C, $A7, Weekly!AG:AG, "x")</f>
        <v>4</v>
      </c>
      <c r="H7" s="234">
        <f>COUNTIFS(Weekly!$C:$C, $A7, Weekly!AH:AH, "x")</f>
        <v>4</v>
      </c>
      <c r="I7" s="235" t="str">
        <f>COUNTIFS(Weekly!$C:$C, $A7, Weekly!AN:AN, "x")</f>
        <v>#VALUE!</v>
      </c>
    </row>
    <row r="8">
      <c r="A8" s="233" t="s">
        <v>454</v>
      </c>
      <c r="B8" s="234">
        <f>COUNTIFS(Weekly!$C:$C, $A8, Weekly!AB:AB, "x")</f>
        <v>1</v>
      </c>
      <c r="C8" s="234">
        <f>COUNTIFS(Weekly!$C:$C, $A8, Weekly!AC:AC, "x")</f>
        <v>1</v>
      </c>
      <c r="D8" s="234">
        <f>COUNTIFS(Weekly!$C:$C, $A8, Weekly!AD:AD, "x")</f>
        <v>1</v>
      </c>
      <c r="E8" s="234">
        <f>COUNTIFS(Weekly!$C:$C, $A8, Weekly!AE:AE, "x")</f>
        <v>1</v>
      </c>
      <c r="F8" s="234">
        <f>COUNTIFS(Weekly!$C:$C, $A8, Weekly!AF:AF, "x")</f>
        <v>0</v>
      </c>
      <c r="G8" s="234">
        <f>COUNTIFS(Weekly!$C:$C, $A8, Weekly!AG:AG, "x")</f>
        <v>0</v>
      </c>
      <c r="H8" s="234">
        <f>COUNTIFS(Weekly!$C:$C, $A8, Weekly!AH:AH, "x")</f>
        <v>0</v>
      </c>
      <c r="I8" s="235" t="str">
        <f>COUNTIFS(Weekly!$C:$C, $A8, Weekly!AN:AN, "x")</f>
        <v>#VALUE!</v>
      </c>
    </row>
    <row r="9">
      <c r="A9" s="236" t="s">
        <v>679</v>
      </c>
      <c r="B9" s="237">
        <f t="shared" ref="B9:I9" si="1">SUM(B3:B7)</f>
        <v>39</v>
      </c>
      <c r="C9" s="237">
        <f t="shared" si="1"/>
        <v>45</v>
      </c>
      <c r="D9" s="237">
        <f t="shared" si="1"/>
        <v>41</v>
      </c>
      <c r="E9" s="237">
        <f t="shared" si="1"/>
        <v>34</v>
      </c>
      <c r="F9" s="237">
        <f t="shared" si="1"/>
        <v>39</v>
      </c>
      <c r="G9" s="237">
        <f t="shared" si="1"/>
        <v>34</v>
      </c>
      <c r="H9" s="237">
        <f t="shared" si="1"/>
        <v>36</v>
      </c>
      <c r="I9" s="238" t="str">
        <f t="shared" si="1"/>
        <v>#VALUE!</v>
      </c>
    </row>
  </sheetData>
  <mergeCells count="2">
    <mergeCell ref="B1:E1"/>
    <mergeCell ref="F1:I1"/>
  </mergeCells>
  <conditionalFormatting sqref="B3:I8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1" ref="A3"/>
    <hyperlink r:id="rId2" ref="A4"/>
    <hyperlink r:id="rId3" ref="A5"/>
    <hyperlink r:id="rId4" ref="A6"/>
    <hyperlink r:id="rId5" ref="A7"/>
    <hyperlink r:id="rId6" ref="A8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9.38"/>
    <col customWidth="1" min="3" max="3" width="12.75"/>
    <col customWidth="1" min="4" max="4" width="10.38"/>
    <col customWidth="1" min="5" max="5" width="99.5"/>
    <col customWidth="1" min="6" max="7" width="11.88"/>
    <col customWidth="1" min="8" max="8" width="9.75"/>
    <col customWidth="1" min="9" max="9" width="19.75"/>
  </cols>
  <sheetData>
    <row r="1" ht="61.5" customHeight="1">
      <c r="A1" s="239" t="s">
        <v>309</v>
      </c>
      <c r="B1" s="240" t="s">
        <v>680</v>
      </c>
      <c r="C1" s="241" t="s">
        <v>681</v>
      </c>
      <c r="D1" s="240" t="s">
        <v>266</v>
      </c>
      <c r="E1" s="240" t="s">
        <v>682</v>
      </c>
      <c r="F1" s="240" t="s">
        <v>54</v>
      </c>
      <c r="G1" s="241" t="s">
        <v>55</v>
      </c>
      <c r="H1" s="242" t="s">
        <v>683</v>
      </c>
      <c r="I1" s="241" t="s">
        <v>684</v>
      </c>
    </row>
    <row r="2" ht="15.75" hidden="1" customHeight="1">
      <c r="A2" s="243" t="s">
        <v>29</v>
      </c>
      <c r="B2" s="244" t="s">
        <v>685</v>
      </c>
      <c r="C2" s="245" t="s">
        <v>686</v>
      </c>
      <c r="D2" s="246" t="s">
        <v>687</v>
      </c>
      <c r="E2" s="247" t="s">
        <v>688</v>
      </c>
      <c r="F2" s="248" t="s">
        <v>689</v>
      </c>
      <c r="G2" s="244"/>
      <c r="H2" s="249" t="s">
        <v>690</v>
      </c>
      <c r="I2" s="250"/>
    </row>
    <row r="3" ht="15.75" customHeight="1">
      <c r="A3" s="243" t="s">
        <v>691</v>
      </c>
      <c r="B3" s="244" t="s">
        <v>685</v>
      </c>
      <c r="C3" s="245" t="s">
        <v>398</v>
      </c>
      <c r="D3" s="246" t="s">
        <v>687</v>
      </c>
      <c r="E3" s="247" t="s">
        <v>692</v>
      </c>
      <c r="F3" s="248" t="s">
        <v>689</v>
      </c>
      <c r="G3" s="248" t="s">
        <v>693</v>
      </c>
      <c r="H3" s="249" t="s">
        <v>690</v>
      </c>
      <c r="I3" s="250"/>
    </row>
    <row r="4" ht="15.75" customHeight="1">
      <c r="A4" s="243" t="s">
        <v>691</v>
      </c>
      <c r="B4" s="244" t="s">
        <v>685</v>
      </c>
      <c r="C4" s="245" t="s">
        <v>424</v>
      </c>
      <c r="D4" s="246" t="s">
        <v>687</v>
      </c>
      <c r="E4" s="247" t="s">
        <v>694</v>
      </c>
      <c r="F4" s="248" t="s">
        <v>689</v>
      </c>
      <c r="G4" s="248"/>
      <c r="H4" s="251" t="s">
        <v>695</v>
      </c>
      <c r="I4" s="250"/>
    </row>
    <row r="5" ht="15.75" customHeight="1">
      <c r="A5" s="243" t="s">
        <v>691</v>
      </c>
      <c r="B5" s="244" t="s">
        <v>696</v>
      </c>
      <c r="C5" s="245" t="s">
        <v>697</v>
      </c>
      <c r="D5" s="245" t="s">
        <v>698</v>
      </c>
      <c r="E5" s="247" t="s">
        <v>699</v>
      </c>
      <c r="F5" s="248" t="s">
        <v>689</v>
      </c>
      <c r="G5" s="252"/>
      <c r="H5" s="249" t="s">
        <v>690</v>
      </c>
      <c r="I5" s="250"/>
    </row>
    <row r="6" ht="15.75" hidden="1" customHeight="1">
      <c r="A6" s="243" t="s">
        <v>29</v>
      </c>
      <c r="B6" s="244" t="s">
        <v>685</v>
      </c>
      <c r="C6" s="245" t="s">
        <v>686</v>
      </c>
      <c r="D6" s="246" t="s">
        <v>687</v>
      </c>
      <c r="E6" s="247" t="s">
        <v>700</v>
      </c>
      <c r="F6" s="248" t="s">
        <v>625</v>
      </c>
      <c r="G6" s="248" t="s">
        <v>318</v>
      </c>
      <c r="H6" s="251" t="s">
        <v>701</v>
      </c>
      <c r="I6" s="253"/>
    </row>
    <row r="7" ht="15.75" customHeight="1">
      <c r="A7" s="243" t="s">
        <v>691</v>
      </c>
      <c r="B7" s="244" t="s">
        <v>685</v>
      </c>
      <c r="C7" s="245" t="s">
        <v>686</v>
      </c>
      <c r="D7" s="246" t="s">
        <v>687</v>
      </c>
      <c r="E7" s="247" t="s">
        <v>702</v>
      </c>
      <c r="F7" s="248" t="s">
        <v>625</v>
      </c>
      <c r="G7" s="248" t="s">
        <v>318</v>
      </c>
      <c r="H7" s="251" t="s">
        <v>701</v>
      </c>
      <c r="I7" s="253"/>
    </row>
    <row r="8" ht="15.75" customHeight="1">
      <c r="A8" s="243" t="s">
        <v>691</v>
      </c>
      <c r="B8" s="244" t="s">
        <v>685</v>
      </c>
      <c r="C8" s="245" t="s">
        <v>686</v>
      </c>
      <c r="D8" s="246" t="s">
        <v>687</v>
      </c>
      <c r="E8" s="247" t="s">
        <v>703</v>
      </c>
      <c r="F8" s="248" t="s">
        <v>625</v>
      </c>
      <c r="G8" s="248" t="s">
        <v>318</v>
      </c>
      <c r="H8" s="251" t="s">
        <v>701</v>
      </c>
      <c r="I8" s="253"/>
    </row>
    <row r="9" ht="15.75" customHeight="1">
      <c r="A9" s="243" t="s">
        <v>704</v>
      </c>
      <c r="B9" s="244" t="s">
        <v>685</v>
      </c>
      <c r="C9" s="245" t="s">
        <v>686</v>
      </c>
      <c r="D9" s="246" t="s">
        <v>687</v>
      </c>
      <c r="E9" s="247" t="s">
        <v>705</v>
      </c>
      <c r="F9" s="248" t="s">
        <v>625</v>
      </c>
      <c r="G9" s="248" t="s">
        <v>318</v>
      </c>
      <c r="H9" s="251" t="s">
        <v>701</v>
      </c>
      <c r="I9" s="253"/>
    </row>
    <row r="10" ht="15.75" customHeight="1">
      <c r="A10" s="243" t="s">
        <v>704</v>
      </c>
      <c r="B10" s="244" t="s">
        <v>685</v>
      </c>
      <c r="C10" s="245" t="s">
        <v>398</v>
      </c>
      <c r="D10" s="245" t="s">
        <v>698</v>
      </c>
      <c r="E10" s="247" t="s">
        <v>706</v>
      </c>
      <c r="F10" s="248" t="s">
        <v>323</v>
      </c>
      <c r="G10" s="252"/>
      <c r="H10" s="249" t="s">
        <v>690</v>
      </c>
      <c r="I10" s="250"/>
    </row>
    <row r="11" ht="15.75" customHeight="1">
      <c r="A11" s="243" t="s">
        <v>704</v>
      </c>
      <c r="B11" s="244" t="s">
        <v>685</v>
      </c>
      <c r="C11" s="245" t="s">
        <v>398</v>
      </c>
      <c r="D11" s="246" t="s">
        <v>707</v>
      </c>
      <c r="E11" s="247" t="s">
        <v>708</v>
      </c>
      <c r="F11" s="248" t="s">
        <v>323</v>
      </c>
      <c r="G11" s="252"/>
      <c r="H11" s="249" t="s">
        <v>701</v>
      </c>
      <c r="I11" s="250"/>
    </row>
    <row r="12" ht="15.75" customHeight="1">
      <c r="A12" s="243" t="s">
        <v>691</v>
      </c>
      <c r="B12" s="244" t="s">
        <v>685</v>
      </c>
      <c r="C12" s="245" t="s">
        <v>686</v>
      </c>
      <c r="D12" s="246" t="s">
        <v>707</v>
      </c>
      <c r="E12" s="247" t="s">
        <v>709</v>
      </c>
      <c r="F12" s="248" t="s">
        <v>323</v>
      </c>
      <c r="G12" s="252"/>
      <c r="H12" s="251" t="s">
        <v>695</v>
      </c>
      <c r="I12" s="250"/>
    </row>
    <row r="13" ht="26.25" customHeight="1">
      <c r="A13" s="243" t="s">
        <v>691</v>
      </c>
      <c r="B13" s="244" t="s">
        <v>685</v>
      </c>
      <c r="C13" s="245" t="s">
        <v>424</v>
      </c>
      <c r="D13" s="245" t="s">
        <v>707</v>
      </c>
      <c r="E13" s="247" t="s">
        <v>710</v>
      </c>
      <c r="F13" s="248" t="s">
        <v>711</v>
      </c>
      <c r="G13" s="248" t="s">
        <v>712</v>
      </c>
      <c r="H13" s="249" t="s">
        <v>690</v>
      </c>
      <c r="I13" s="250"/>
    </row>
    <row r="14" ht="15.75" customHeight="1">
      <c r="A14" s="243" t="s">
        <v>691</v>
      </c>
      <c r="B14" s="244" t="s">
        <v>685</v>
      </c>
      <c r="C14" s="245" t="s">
        <v>697</v>
      </c>
      <c r="D14" s="245" t="s">
        <v>698</v>
      </c>
      <c r="E14" s="254" t="s">
        <v>713</v>
      </c>
      <c r="F14" s="244" t="s">
        <v>711</v>
      </c>
      <c r="G14" s="252"/>
      <c r="H14" s="249" t="s">
        <v>690</v>
      </c>
      <c r="I14" s="250"/>
    </row>
    <row r="15" ht="15.75" customHeight="1">
      <c r="A15" s="243" t="s">
        <v>704</v>
      </c>
      <c r="B15" s="244" t="s">
        <v>685</v>
      </c>
      <c r="C15" s="245" t="s">
        <v>424</v>
      </c>
      <c r="D15" s="246" t="s">
        <v>707</v>
      </c>
      <c r="E15" s="247" t="s">
        <v>714</v>
      </c>
      <c r="F15" s="244" t="s">
        <v>711</v>
      </c>
      <c r="G15" s="252"/>
      <c r="H15" s="249" t="s">
        <v>701</v>
      </c>
      <c r="I15" s="250"/>
    </row>
    <row r="16" ht="15.75" customHeight="1">
      <c r="A16" s="255" t="s">
        <v>704</v>
      </c>
      <c r="B16" s="244" t="s">
        <v>685</v>
      </c>
      <c r="C16" s="245" t="s">
        <v>424</v>
      </c>
      <c r="D16" s="245" t="s">
        <v>698</v>
      </c>
      <c r="E16" s="247" t="s">
        <v>715</v>
      </c>
      <c r="F16" s="244" t="s">
        <v>711</v>
      </c>
      <c r="G16" s="252"/>
      <c r="H16" s="249" t="s">
        <v>690</v>
      </c>
      <c r="I16" s="253"/>
    </row>
    <row r="17" ht="15.75" customHeight="1">
      <c r="A17" s="243" t="s">
        <v>691</v>
      </c>
      <c r="B17" s="244" t="s">
        <v>685</v>
      </c>
      <c r="C17" s="245" t="s">
        <v>697</v>
      </c>
      <c r="D17" s="246" t="s">
        <v>687</v>
      </c>
      <c r="E17" s="247" t="s">
        <v>716</v>
      </c>
      <c r="F17" s="248" t="s">
        <v>712</v>
      </c>
      <c r="G17" s="248"/>
      <c r="H17" s="249" t="s">
        <v>690</v>
      </c>
      <c r="I17" s="253"/>
    </row>
    <row r="18" ht="15.75" hidden="1" customHeight="1">
      <c r="A18" s="243" t="s">
        <v>29</v>
      </c>
      <c r="B18" s="244" t="s">
        <v>696</v>
      </c>
      <c r="C18" s="245" t="s">
        <v>697</v>
      </c>
      <c r="D18" s="246" t="s">
        <v>687</v>
      </c>
      <c r="E18" s="247" t="s">
        <v>717</v>
      </c>
      <c r="F18" s="248" t="s">
        <v>712</v>
      </c>
      <c r="G18" s="248" t="s">
        <v>693</v>
      </c>
      <c r="H18" s="249" t="s">
        <v>690</v>
      </c>
      <c r="I18" s="253"/>
    </row>
    <row r="19" ht="15.75" hidden="1" customHeight="1">
      <c r="A19" s="243" t="s">
        <v>29</v>
      </c>
      <c r="B19" s="244" t="s">
        <v>718</v>
      </c>
      <c r="C19" s="245" t="s">
        <v>424</v>
      </c>
      <c r="D19" s="246" t="s">
        <v>687</v>
      </c>
      <c r="E19" s="247" t="s">
        <v>719</v>
      </c>
      <c r="F19" s="248" t="s">
        <v>712</v>
      </c>
      <c r="G19" s="244" t="s">
        <v>323</v>
      </c>
      <c r="H19" s="249" t="s">
        <v>701</v>
      </c>
      <c r="I19" s="253"/>
    </row>
    <row r="20" ht="15.75" customHeight="1">
      <c r="A20" s="243" t="s">
        <v>691</v>
      </c>
      <c r="B20" s="244" t="s">
        <v>718</v>
      </c>
      <c r="C20" s="245" t="s">
        <v>424</v>
      </c>
      <c r="D20" s="246" t="s">
        <v>687</v>
      </c>
      <c r="E20" s="247" t="s">
        <v>720</v>
      </c>
      <c r="F20" s="248" t="s">
        <v>712</v>
      </c>
      <c r="G20" s="244" t="s">
        <v>323</v>
      </c>
      <c r="H20" s="249" t="s">
        <v>701</v>
      </c>
      <c r="I20" s="253"/>
    </row>
    <row r="21" ht="15.75" customHeight="1">
      <c r="A21" s="243" t="s">
        <v>704</v>
      </c>
      <c r="B21" s="244" t="s">
        <v>718</v>
      </c>
      <c r="C21" s="245" t="s">
        <v>424</v>
      </c>
      <c r="D21" s="246" t="s">
        <v>687</v>
      </c>
      <c r="E21" s="247" t="s">
        <v>721</v>
      </c>
      <c r="F21" s="248" t="s">
        <v>712</v>
      </c>
      <c r="G21" s="244"/>
      <c r="H21" s="251" t="s">
        <v>695</v>
      </c>
      <c r="I21" s="253"/>
    </row>
    <row r="22" ht="15.75" customHeight="1">
      <c r="A22" s="243" t="s">
        <v>691</v>
      </c>
      <c r="B22" s="244" t="s">
        <v>685</v>
      </c>
      <c r="C22" s="245" t="s">
        <v>424</v>
      </c>
      <c r="D22" s="246" t="s">
        <v>707</v>
      </c>
      <c r="E22" s="247" t="s">
        <v>449</v>
      </c>
      <c r="F22" s="248" t="s">
        <v>712</v>
      </c>
      <c r="G22" s="252"/>
      <c r="H22" s="249" t="s">
        <v>690</v>
      </c>
      <c r="I22" s="253"/>
    </row>
    <row r="23" ht="15.75" customHeight="1">
      <c r="A23" s="243" t="s">
        <v>704</v>
      </c>
      <c r="B23" s="244" t="s">
        <v>722</v>
      </c>
      <c r="C23" s="245" t="s">
        <v>686</v>
      </c>
      <c r="D23" s="245" t="s">
        <v>707</v>
      </c>
      <c r="E23" s="247" t="s">
        <v>723</v>
      </c>
      <c r="F23" s="248" t="s">
        <v>693</v>
      </c>
      <c r="G23" s="244" t="s">
        <v>625</v>
      </c>
      <c r="H23" s="251" t="s">
        <v>690</v>
      </c>
      <c r="I23" s="250"/>
    </row>
    <row r="24" ht="15.75" customHeight="1">
      <c r="A24" s="243" t="s">
        <v>704</v>
      </c>
      <c r="B24" s="244" t="s">
        <v>685</v>
      </c>
      <c r="C24" s="245" t="s">
        <v>398</v>
      </c>
      <c r="D24" s="245" t="s">
        <v>698</v>
      </c>
      <c r="E24" s="247" t="s">
        <v>724</v>
      </c>
      <c r="F24" s="248" t="s">
        <v>693</v>
      </c>
      <c r="G24" s="252"/>
      <c r="H24" s="249" t="s">
        <v>725</v>
      </c>
      <c r="I24" s="250"/>
    </row>
    <row r="25" ht="15.75" customHeight="1">
      <c r="A25" s="243" t="s">
        <v>691</v>
      </c>
      <c r="B25" s="244" t="s">
        <v>685</v>
      </c>
      <c r="C25" s="245" t="s">
        <v>697</v>
      </c>
      <c r="D25" s="245" t="s">
        <v>698</v>
      </c>
      <c r="E25" s="247" t="s">
        <v>726</v>
      </c>
      <c r="F25" s="248" t="s">
        <v>693</v>
      </c>
      <c r="G25" s="252"/>
      <c r="H25" s="249" t="s">
        <v>725</v>
      </c>
      <c r="I25" s="250"/>
    </row>
  </sheetData>
  <autoFilter ref="$A$1:$I$25">
    <filterColumn colId="0">
      <filters>
        <filter val="A iniciar"/>
        <filter val="Em andamento"/>
      </filters>
    </filterColumn>
    <sortState ref="A1:I25">
      <sortCondition descending="1" ref="F1:F25"/>
    </sortState>
  </autoFilter>
  <customSheetViews>
    <customSheetView guid="{5200034C-7E85-4B11-8545-8C4484E94FC4}" filter="1" showAutoFilter="1">
      <autoFilter ref="$B$1:$I$24">
        <filterColumn colId="1">
          <filters>
            <filter val="Automação"/>
            <filter val="Data"/>
          </filters>
        </filterColumn>
      </autoFilter>
    </customSheetView>
  </customSheetViews>
  <dataValidations>
    <dataValidation type="list" allowBlank="1" showErrorMessage="1" sqref="C2:C25">
      <formula1>"BAU,Foundation,Data,Automação"</formula1>
    </dataValidation>
    <dataValidation type="list" allowBlank="1" showErrorMessage="1" sqref="D2:D25">
      <formula1>"1. Alta,2.Média,3. Baixa"</formula1>
    </dataValidation>
    <dataValidation type="list" allowBlank="1" showErrorMessage="1" sqref="B2:B25">
      <formula1>"Talent to value,Strong core,Processes &amp; Analytics,Plant the seeds"</formula1>
    </dataValidation>
    <dataValidation type="list" allowBlank="1" showErrorMessage="1" sqref="F2 F3:G3 F4:F5 F6:G9 F10:F12 F13:G13 F14:F17 F18:G20 F21:F22 F23:G23 F24:F25">
      <formula1>"Carina,Thiago,Andreza,Sabrina,Stephanie,Icaro,Escobar,Sabrina &amp; Escobar"</formula1>
    </dataValidation>
    <dataValidation type="list" allowBlank="1" showErrorMessage="1" sqref="A2:A25">
      <formula1>"A iniciar,Em andamento,Concluído,Cancelado"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FF3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3" width="10.13"/>
    <col customWidth="1" min="4" max="4" width="10.25"/>
    <col customWidth="1" min="5" max="5" width="13.38"/>
    <col customWidth="1" min="6" max="6" width="52.88"/>
    <col customWidth="1" min="7" max="7" width="30.5"/>
    <col customWidth="1" min="8" max="8" width="18.38"/>
    <col customWidth="1" min="9" max="9" width="12.63"/>
  </cols>
  <sheetData>
    <row r="1" ht="43.5" customHeight="1">
      <c r="A1" s="256" t="s">
        <v>727</v>
      </c>
      <c r="B1" s="60"/>
      <c r="C1" s="60"/>
      <c r="D1" s="60"/>
      <c r="E1" s="60"/>
      <c r="F1" s="60"/>
      <c r="G1" s="60"/>
      <c r="H1" s="60"/>
      <c r="I1" s="23"/>
    </row>
    <row r="2">
      <c r="A2" s="257" t="s">
        <v>41</v>
      </c>
      <c r="B2" s="258" t="s">
        <v>728</v>
      </c>
      <c r="C2" s="258" t="s">
        <v>729</v>
      </c>
      <c r="D2" s="259" t="s">
        <v>309</v>
      </c>
      <c r="E2" s="257" t="s">
        <v>308</v>
      </c>
      <c r="F2" s="260" t="s">
        <v>730</v>
      </c>
      <c r="G2" s="257" t="s">
        <v>54</v>
      </c>
      <c r="H2" s="257" t="s">
        <v>731</v>
      </c>
      <c r="I2" s="261" t="s">
        <v>732</v>
      </c>
    </row>
    <row r="3">
      <c r="A3" s="262" t="s">
        <v>733</v>
      </c>
      <c r="B3" s="263">
        <v>46104.0</v>
      </c>
      <c r="C3" s="263">
        <f>B3+4</f>
        <v>46108</v>
      </c>
      <c r="D3" s="262" t="s">
        <v>319</v>
      </c>
      <c r="E3" s="262" t="s">
        <v>734</v>
      </c>
      <c r="F3" s="262" t="s">
        <v>735</v>
      </c>
      <c r="G3" s="264" t="s">
        <v>75</v>
      </c>
      <c r="H3" s="264" t="s">
        <v>208</v>
      </c>
      <c r="I3" s="265"/>
    </row>
    <row r="4">
      <c r="A4" s="262" t="s">
        <v>733</v>
      </c>
      <c r="B4" s="263">
        <v>46111.0</v>
      </c>
      <c r="C4" s="263">
        <f t="shared" ref="C4:C6" si="1">B4+11</f>
        <v>46122</v>
      </c>
      <c r="D4" s="262" t="s">
        <v>319</v>
      </c>
      <c r="E4" s="262" t="s">
        <v>734</v>
      </c>
      <c r="F4" s="262" t="s">
        <v>736</v>
      </c>
      <c r="G4" s="264" t="s">
        <v>75</v>
      </c>
      <c r="H4" s="264" t="s">
        <v>208</v>
      </c>
      <c r="I4" s="265"/>
    </row>
    <row r="5">
      <c r="A5" s="262" t="s">
        <v>733</v>
      </c>
      <c r="B5" s="263">
        <v>46111.0</v>
      </c>
      <c r="C5" s="263">
        <f t="shared" si="1"/>
        <v>46122</v>
      </c>
      <c r="D5" s="262" t="s">
        <v>319</v>
      </c>
      <c r="E5" s="262" t="s">
        <v>734</v>
      </c>
      <c r="F5" s="262" t="s">
        <v>737</v>
      </c>
      <c r="G5" s="264" t="s">
        <v>75</v>
      </c>
      <c r="H5" s="264" t="s">
        <v>208</v>
      </c>
      <c r="I5" s="265"/>
    </row>
    <row r="6">
      <c r="A6" s="262" t="s">
        <v>733</v>
      </c>
      <c r="B6" s="263">
        <v>46146.0</v>
      </c>
      <c r="C6" s="263">
        <f t="shared" si="1"/>
        <v>46157</v>
      </c>
      <c r="D6" s="262" t="s">
        <v>428</v>
      </c>
      <c r="E6" s="262" t="s">
        <v>738</v>
      </c>
      <c r="F6" s="262" t="s">
        <v>739</v>
      </c>
      <c r="G6" s="264" t="s">
        <v>101</v>
      </c>
      <c r="H6" s="264" t="s">
        <v>208</v>
      </c>
      <c r="I6" s="265"/>
    </row>
    <row r="7">
      <c r="A7" s="262" t="s">
        <v>733</v>
      </c>
      <c r="B7" s="263">
        <v>46146.0</v>
      </c>
      <c r="C7" s="263">
        <f>B7+4</f>
        <v>46150</v>
      </c>
      <c r="D7" s="262" t="s">
        <v>319</v>
      </c>
      <c r="E7" s="262" t="s">
        <v>738</v>
      </c>
      <c r="F7" s="262" t="s">
        <v>740</v>
      </c>
      <c r="G7" s="264" t="s">
        <v>101</v>
      </c>
      <c r="H7" s="264" t="s">
        <v>208</v>
      </c>
      <c r="I7" s="262" t="s">
        <v>741</v>
      </c>
    </row>
    <row r="8">
      <c r="A8" s="262" t="s">
        <v>733</v>
      </c>
      <c r="B8" s="263">
        <v>46146.0</v>
      </c>
      <c r="C8" s="263">
        <f>B8+11</f>
        <v>46157</v>
      </c>
      <c r="D8" s="262" t="s">
        <v>742</v>
      </c>
      <c r="E8" s="262" t="s">
        <v>743</v>
      </c>
      <c r="F8" s="262" t="s">
        <v>744</v>
      </c>
      <c r="G8" s="264" t="s">
        <v>298</v>
      </c>
      <c r="H8" s="262"/>
      <c r="I8" s="265"/>
    </row>
    <row r="9">
      <c r="A9" s="262" t="s">
        <v>733</v>
      </c>
      <c r="B9" s="263">
        <v>46146.0</v>
      </c>
      <c r="C9" s="263">
        <f>B9+4</f>
        <v>46150</v>
      </c>
      <c r="D9" s="262" t="s">
        <v>319</v>
      </c>
      <c r="E9" s="262" t="s">
        <v>624</v>
      </c>
      <c r="F9" s="262" t="s">
        <v>745</v>
      </c>
      <c r="G9" s="264" t="s">
        <v>75</v>
      </c>
      <c r="H9" s="262"/>
      <c r="I9" s="266"/>
    </row>
    <row r="10">
      <c r="A10" s="262" t="s">
        <v>733</v>
      </c>
      <c r="B10" s="263">
        <v>46146.0</v>
      </c>
      <c r="C10" s="263">
        <f t="shared" ref="C10:C16" si="2">B10+11</f>
        <v>46157</v>
      </c>
      <c r="D10" s="262" t="s">
        <v>428</v>
      </c>
      <c r="E10" s="262" t="s">
        <v>624</v>
      </c>
      <c r="F10" s="262" t="s">
        <v>746</v>
      </c>
      <c r="G10" s="264" t="s">
        <v>232</v>
      </c>
      <c r="H10" s="262"/>
      <c r="I10" s="266"/>
    </row>
    <row r="11">
      <c r="A11" s="262" t="s">
        <v>733</v>
      </c>
      <c r="B11" s="263">
        <v>46146.0</v>
      </c>
      <c r="C11" s="263">
        <f t="shared" si="2"/>
        <v>46157</v>
      </c>
      <c r="D11" s="262" t="s">
        <v>428</v>
      </c>
      <c r="E11" s="262" t="s">
        <v>624</v>
      </c>
      <c r="F11" s="262" t="s">
        <v>747</v>
      </c>
      <c r="G11" s="264" t="s">
        <v>232</v>
      </c>
      <c r="H11" s="262"/>
      <c r="I11" s="265"/>
    </row>
    <row r="12">
      <c r="A12" s="262" t="s">
        <v>733</v>
      </c>
      <c r="B12" s="263">
        <v>46146.0</v>
      </c>
      <c r="C12" s="263">
        <f t="shared" si="2"/>
        <v>46157</v>
      </c>
      <c r="D12" s="262" t="s">
        <v>428</v>
      </c>
      <c r="E12" s="262" t="s">
        <v>748</v>
      </c>
      <c r="F12" s="262" t="s">
        <v>749</v>
      </c>
      <c r="G12" s="264" t="s">
        <v>232</v>
      </c>
      <c r="H12" s="262"/>
      <c r="I12" s="265"/>
    </row>
    <row r="13">
      <c r="A13" s="262" t="s">
        <v>733</v>
      </c>
      <c r="B13" s="263">
        <v>46146.0</v>
      </c>
      <c r="C13" s="263">
        <f t="shared" si="2"/>
        <v>46157</v>
      </c>
      <c r="D13" s="262" t="s">
        <v>428</v>
      </c>
      <c r="E13" s="262" t="s">
        <v>624</v>
      </c>
      <c r="F13" s="262" t="s">
        <v>750</v>
      </c>
      <c r="G13" s="264" t="s">
        <v>232</v>
      </c>
      <c r="H13" s="262"/>
      <c r="I13" s="265"/>
    </row>
    <row r="14">
      <c r="A14" s="262" t="s">
        <v>733</v>
      </c>
      <c r="B14" s="263">
        <v>46146.0</v>
      </c>
      <c r="C14" s="263">
        <f t="shared" si="2"/>
        <v>46157</v>
      </c>
      <c r="D14" s="262" t="s">
        <v>428</v>
      </c>
      <c r="E14" s="262" t="s">
        <v>624</v>
      </c>
      <c r="F14" s="262" t="s">
        <v>751</v>
      </c>
      <c r="G14" s="264" t="s">
        <v>74</v>
      </c>
      <c r="H14" s="262"/>
      <c r="I14" s="265"/>
    </row>
    <row r="15">
      <c r="A15" s="262" t="s">
        <v>733</v>
      </c>
      <c r="B15" s="263">
        <v>46146.0</v>
      </c>
      <c r="C15" s="263">
        <f t="shared" si="2"/>
        <v>46157</v>
      </c>
      <c r="D15" s="262" t="s">
        <v>742</v>
      </c>
      <c r="E15" s="262" t="s">
        <v>624</v>
      </c>
      <c r="F15" s="262" t="s">
        <v>752</v>
      </c>
      <c r="G15" s="264" t="s">
        <v>75</v>
      </c>
      <c r="H15" s="262"/>
      <c r="I15" s="265"/>
    </row>
    <row r="16">
      <c r="A16" s="262" t="s">
        <v>733</v>
      </c>
      <c r="B16" s="263">
        <v>46146.0</v>
      </c>
      <c r="C16" s="263">
        <f t="shared" si="2"/>
        <v>46157</v>
      </c>
      <c r="D16" s="262" t="s">
        <v>742</v>
      </c>
      <c r="E16" s="262" t="s">
        <v>424</v>
      </c>
      <c r="F16" s="262" t="s">
        <v>753</v>
      </c>
      <c r="G16" s="264" t="s">
        <v>75</v>
      </c>
      <c r="H16" s="264" t="s">
        <v>208</v>
      </c>
      <c r="I16" s="265"/>
    </row>
    <row r="17">
      <c r="A17" s="262" t="s">
        <v>733</v>
      </c>
      <c r="B17" s="263">
        <v>46153.0</v>
      </c>
      <c r="C17" s="263">
        <f t="shared" ref="C17:C20" si="3">B17+14</f>
        <v>46167</v>
      </c>
      <c r="D17" s="262" t="s">
        <v>742</v>
      </c>
      <c r="E17" s="262" t="s">
        <v>424</v>
      </c>
      <c r="F17" s="262" t="s">
        <v>754</v>
      </c>
      <c r="G17" s="264" t="s">
        <v>232</v>
      </c>
      <c r="H17" s="264" t="s">
        <v>171</v>
      </c>
      <c r="I17" s="266"/>
    </row>
    <row r="18">
      <c r="A18" s="262" t="s">
        <v>733</v>
      </c>
      <c r="B18" s="263">
        <v>46153.0</v>
      </c>
      <c r="C18" s="263">
        <f t="shared" si="3"/>
        <v>46167</v>
      </c>
      <c r="D18" s="262" t="s">
        <v>742</v>
      </c>
      <c r="E18" s="262" t="s">
        <v>424</v>
      </c>
      <c r="F18" s="262" t="s">
        <v>755</v>
      </c>
      <c r="G18" s="264" t="s">
        <v>74</v>
      </c>
      <c r="H18" s="264" t="s">
        <v>171</v>
      </c>
      <c r="I18" s="265"/>
    </row>
    <row r="19">
      <c r="A19" s="262" t="s">
        <v>733</v>
      </c>
      <c r="B19" s="263">
        <v>46153.0</v>
      </c>
      <c r="C19" s="263">
        <f t="shared" si="3"/>
        <v>46167</v>
      </c>
      <c r="D19" s="262" t="s">
        <v>742</v>
      </c>
      <c r="E19" s="262" t="s">
        <v>424</v>
      </c>
      <c r="F19" s="262" t="s">
        <v>756</v>
      </c>
      <c r="G19" s="264" t="s">
        <v>232</v>
      </c>
      <c r="H19" s="264" t="s">
        <v>171</v>
      </c>
      <c r="I19" s="265"/>
    </row>
    <row r="20">
      <c r="A20" s="262" t="s">
        <v>733</v>
      </c>
      <c r="B20" s="263">
        <v>46153.0</v>
      </c>
      <c r="C20" s="263">
        <f t="shared" si="3"/>
        <v>46167</v>
      </c>
      <c r="D20" s="262" t="s">
        <v>742</v>
      </c>
      <c r="E20" s="262" t="s">
        <v>424</v>
      </c>
      <c r="F20" s="262" t="s">
        <v>757</v>
      </c>
      <c r="G20" s="264" t="s">
        <v>232</v>
      </c>
      <c r="H20" s="264" t="s">
        <v>171</v>
      </c>
      <c r="I20" s="265"/>
    </row>
    <row r="21">
      <c r="A21" s="262" t="s">
        <v>733</v>
      </c>
      <c r="B21" s="263">
        <v>46153.0</v>
      </c>
      <c r="C21" s="263">
        <f t="shared" ref="C21:C27" si="4">B21+4</f>
        <v>46157</v>
      </c>
      <c r="D21" s="262" t="s">
        <v>742</v>
      </c>
      <c r="E21" s="262" t="s">
        <v>743</v>
      </c>
      <c r="F21" s="262" t="s">
        <v>758</v>
      </c>
      <c r="G21" s="264" t="s">
        <v>298</v>
      </c>
      <c r="H21" s="262"/>
      <c r="I21" s="265"/>
    </row>
    <row r="22">
      <c r="A22" s="262" t="s">
        <v>733</v>
      </c>
      <c r="B22" s="263">
        <v>46153.0</v>
      </c>
      <c r="C22" s="263">
        <f t="shared" si="4"/>
        <v>46157</v>
      </c>
      <c r="D22" s="262" t="s">
        <v>742</v>
      </c>
      <c r="E22" s="262" t="s">
        <v>624</v>
      </c>
      <c r="F22" s="262" t="s">
        <v>759</v>
      </c>
      <c r="G22" s="264" t="s">
        <v>232</v>
      </c>
      <c r="H22" s="264" t="s">
        <v>171</v>
      </c>
      <c r="I22" s="266"/>
    </row>
    <row r="23">
      <c r="A23" s="262" t="s">
        <v>733</v>
      </c>
      <c r="B23" s="263">
        <v>46153.0</v>
      </c>
      <c r="C23" s="263">
        <f t="shared" si="4"/>
        <v>46157</v>
      </c>
      <c r="D23" s="262" t="s">
        <v>742</v>
      </c>
      <c r="E23" s="262" t="s">
        <v>624</v>
      </c>
      <c r="F23" s="262" t="s">
        <v>760</v>
      </c>
      <c r="G23" s="264" t="s">
        <v>232</v>
      </c>
      <c r="H23" s="264" t="s">
        <v>171</v>
      </c>
      <c r="I23" s="266"/>
    </row>
    <row r="24">
      <c r="A24" s="262" t="s">
        <v>733</v>
      </c>
      <c r="B24" s="263">
        <v>46153.0</v>
      </c>
      <c r="C24" s="263">
        <f t="shared" si="4"/>
        <v>46157</v>
      </c>
      <c r="D24" s="262" t="s">
        <v>742</v>
      </c>
      <c r="E24" s="262" t="s">
        <v>748</v>
      </c>
      <c r="F24" s="262" t="s">
        <v>761</v>
      </c>
      <c r="G24" s="264" t="s">
        <v>232</v>
      </c>
      <c r="H24" s="264" t="s">
        <v>171</v>
      </c>
      <c r="I24" s="266"/>
    </row>
    <row r="25">
      <c r="A25" s="262" t="s">
        <v>733</v>
      </c>
      <c r="B25" s="263">
        <v>46153.0</v>
      </c>
      <c r="C25" s="263">
        <f t="shared" si="4"/>
        <v>46157</v>
      </c>
      <c r="D25" s="262" t="s">
        <v>742</v>
      </c>
      <c r="E25" s="262" t="s">
        <v>624</v>
      </c>
      <c r="F25" s="262" t="s">
        <v>762</v>
      </c>
      <c r="G25" s="264" t="s">
        <v>232</v>
      </c>
      <c r="H25" s="264" t="s">
        <v>171</v>
      </c>
      <c r="I25" s="266"/>
    </row>
    <row r="26">
      <c r="A26" s="262" t="s">
        <v>733</v>
      </c>
      <c r="B26" s="263">
        <v>46153.0</v>
      </c>
      <c r="C26" s="263">
        <f t="shared" si="4"/>
        <v>46157</v>
      </c>
      <c r="D26" s="262" t="s">
        <v>742</v>
      </c>
      <c r="E26" s="262" t="s">
        <v>748</v>
      </c>
      <c r="F26" s="262" t="s">
        <v>763</v>
      </c>
      <c r="G26" s="264" t="s">
        <v>232</v>
      </c>
      <c r="H26" s="262"/>
      <c r="I26" s="265"/>
    </row>
    <row r="27">
      <c r="A27" s="262" t="s">
        <v>733</v>
      </c>
      <c r="B27" s="263">
        <v>46153.0</v>
      </c>
      <c r="C27" s="263">
        <f t="shared" si="4"/>
        <v>46157</v>
      </c>
      <c r="D27" s="262" t="s">
        <v>742</v>
      </c>
      <c r="E27" s="262" t="s">
        <v>748</v>
      </c>
      <c r="F27" s="262" t="s">
        <v>764</v>
      </c>
      <c r="G27" s="264" t="s">
        <v>75</v>
      </c>
      <c r="H27" s="262"/>
      <c r="I27" s="265"/>
    </row>
    <row r="28">
      <c r="A28" s="262" t="s">
        <v>733</v>
      </c>
      <c r="B28" s="263">
        <v>46160.0</v>
      </c>
      <c r="C28" s="263">
        <f t="shared" ref="C28:C30" si="5">B28+3</f>
        <v>46163</v>
      </c>
      <c r="D28" s="262" t="s">
        <v>742</v>
      </c>
      <c r="E28" s="262" t="s">
        <v>624</v>
      </c>
      <c r="F28" s="262" t="s">
        <v>765</v>
      </c>
      <c r="G28" s="264" t="s">
        <v>75</v>
      </c>
      <c r="H28" s="262"/>
      <c r="I28" s="265"/>
    </row>
    <row r="29">
      <c r="A29" s="262" t="s">
        <v>733</v>
      </c>
      <c r="B29" s="263">
        <v>46160.0</v>
      </c>
      <c r="C29" s="263">
        <f t="shared" si="5"/>
        <v>46163</v>
      </c>
      <c r="D29" s="262" t="s">
        <v>742</v>
      </c>
      <c r="E29" s="262" t="s">
        <v>748</v>
      </c>
      <c r="F29" s="262" t="s">
        <v>766</v>
      </c>
      <c r="G29" s="264" t="s">
        <v>75</v>
      </c>
      <c r="H29" s="262"/>
      <c r="I29" s="265"/>
    </row>
    <row r="30">
      <c r="A30" s="262" t="s">
        <v>733</v>
      </c>
      <c r="B30" s="263">
        <v>46160.0</v>
      </c>
      <c r="C30" s="263">
        <f t="shared" si="5"/>
        <v>46163</v>
      </c>
      <c r="D30" s="262" t="s">
        <v>742</v>
      </c>
      <c r="E30" s="262" t="s">
        <v>624</v>
      </c>
      <c r="F30" s="262" t="s">
        <v>766</v>
      </c>
      <c r="G30" s="264" t="s">
        <v>75</v>
      </c>
      <c r="H30" s="262"/>
      <c r="I30" s="265"/>
    </row>
    <row r="31">
      <c r="A31" s="262" t="s">
        <v>733</v>
      </c>
      <c r="B31" s="263">
        <v>46167.0</v>
      </c>
      <c r="C31" s="263">
        <f>B31+11</f>
        <v>46178</v>
      </c>
      <c r="D31" s="262" t="s">
        <v>742</v>
      </c>
      <c r="E31" s="262" t="s">
        <v>748</v>
      </c>
      <c r="F31" s="262" t="s">
        <v>767</v>
      </c>
      <c r="G31" s="264" t="s">
        <v>75</v>
      </c>
      <c r="H31" s="262"/>
      <c r="I31" s="265"/>
    </row>
    <row r="32">
      <c r="A32" s="262" t="s">
        <v>733</v>
      </c>
      <c r="B32" s="263">
        <v>46174.0</v>
      </c>
      <c r="C32" s="263">
        <f>B32+29</f>
        <v>46203</v>
      </c>
      <c r="D32" s="262" t="s">
        <v>742</v>
      </c>
      <c r="E32" s="262" t="s">
        <v>424</v>
      </c>
      <c r="F32" s="262" t="s">
        <v>768</v>
      </c>
      <c r="G32" s="264" t="s">
        <v>224</v>
      </c>
      <c r="H32" s="264" t="s">
        <v>75</v>
      </c>
      <c r="I32" s="265"/>
    </row>
    <row r="33">
      <c r="A33" s="262" t="s">
        <v>733</v>
      </c>
      <c r="B33" s="263">
        <v>46174.0</v>
      </c>
      <c r="C33" s="263">
        <f t="shared" ref="C33:C35" si="6">B33+15</f>
        <v>46189</v>
      </c>
      <c r="D33" s="262" t="s">
        <v>742</v>
      </c>
      <c r="E33" s="262" t="s">
        <v>769</v>
      </c>
      <c r="F33" s="262" t="s">
        <v>770</v>
      </c>
      <c r="G33" s="264" t="s">
        <v>224</v>
      </c>
      <c r="H33" s="264" t="s">
        <v>75</v>
      </c>
      <c r="I33" s="265"/>
    </row>
    <row r="34">
      <c r="A34" s="262" t="s">
        <v>733</v>
      </c>
      <c r="B34" s="263">
        <v>46174.0</v>
      </c>
      <c r="C34" s="263">
        <f t="shared" si="6"/>
        <v>46189</v>
      </c>
      <c r="D34" s="262" t="s">
        <v>742</v>
      </c>
      <c r="E34" s="262" t="s">
        <v>769</v>
      </c>
      <c r="F34" s="262" t="s">
        <v>771</v>
      </c>
      <c r="G34" s="264" t="s">
        <v>224</v>
      </c>
      <c r="H34" s="264" t="s">
        <v>75</v>
      </c>
      <c r="I34" s="265"/>
    </row>
    <row r="35">
      <c r="A35" s="262" t="s">
        <v>733</v>
      </c>
      <c r="B35" s="263">
        <v>46174.0</v>
      </c>
      <c r="C35" s="263">
        <f t="shared" si="6"/>
        <v>46189</v>
      </c>
      <c r="D35" s="262" t="s">
        <v>742</v>
      </c>
      <c r="E35" s="262" t="s">
        <v>772</v>
      </c>
      <c r="F35" s="262" t="s">
        <v>773</v>
      </c>
      <c r="G35" s="264" t="s">
        <v>208</v>
      </c>
      <c r="H35" s="262"/>
      <c r="I35" s="266"/>
    </row>
    <row r="36">
      <c r="A36" s="262" t="s">
        <v>733</v>
      </c>
      <c r="B36" s="263">
        <v>46174.0</v>
      </c>
      <c r="C36" s="263">
        <f>B36+29</f>
        <v>46203</v>
      </c>
      <c r="D36" s="262" t="s">
        <v>742</v>
      </c>
      <c r="E36" s="262" t="s">
        <v>774</v>
      </c>
      <c r="F36" s="262" t="s">
        <v>775</v>
      </c>
      <c r="G36" s="264" t="s">
        <v>224</v>
      </c>
      <c r="H36" s="264" t="s">
        <v>75</v>
      </c>
      <c r="I36" s="265"/>
    </row>
    <row r="37">
      <c r="A37" s="262" t="s">
        <v>733</v>
      </c>
      <c r="B37" s="263">
        <v>46174.0</v>
      </c>
      <c r="C37" s="263">
        <f t="shared" ref="C37:C40" si="7">B37+15</f>
        <v>46189</v>
      </c>
      <c r="D37" s="262" t="s">
        <v>742</v>
      </c>
      <c r="E37" s="262" t="s">
        <v>774</v>
      </c>
      <c r="F37" s="262" t="s">
        <v>776</v>
      </c>
      <c r="G37" s="264" t="s">
        <v>224</v>
      </c>
      <c r="H37" s="264" t="s">
        <v>75</v>
      </c>
      <c r="I37" s="265"/>
    </row>
    <row r="38">
      <c r="A38" s="262" t="s">
        <v>733</v>
      </c>
      <c r="B38" s="263">
        <v>46189.0</v>
      </c>
      <c r="C38" s="263">
        <f t="shared" si="7"/>
        <v>46204</v>
      </c>
      <c r="D38" s="262" t="s">
        <v>742</v>
      </c>
      <c r="E38" s="262" t="s">
        <v>772</v>
      </c>
      <c r="F38" s="262" t="s">
        <v>777</v>
      </c>
      <c r="G38" s="264" t="s">
        <v>208</v>
      </c>
      <c r="H38" s="262"/>
      <c r="I38" s="265"/>
    </row>
    <row r="39">
      <c r="A39" s="262" t="s">
        <v>733</v>
      </c>
      <c r="B39" s="263">
        <v>46190.0</v>
      </c>
      <c r="C39" s="263">
        <f t="shared" si="7"/>
        <v>46205</v>
      </c>
      <c r="D39" s="262" t="s">
        <v>742</v>
      </c>
      <c r="E39" s="262" t="s">
        <v>769</v>
      </c>
      <c r="F39" s="262" t="s">
        <v>778</v>
      </c>
      <c r="G39" s="264" t="s">
        <v>224</v>
      </c>
      <c r="H39" s="264" t="s">
        <v>75</v>
      </c>
      <c r="I39" s="265"/>
    </row>
    <row r="40">
      <c r="A40" s="262" t="s">
        <v>733</v>
      </c>
      <c r="B40" s="263">
        <v>46205.0</v>
      </c>
      <c r="C40" s="263">
        <f t="shared" si="7"/>
        <v>46220</v>
      </c>
      <c r="D40" s="262" t="s">
        <v>742</v>
      </c>
      <c r="E40" s="262" t="s">
        <v>772</v>
      </c>
      <c r="F40" s="262" t="s">
        <v>779</v>
      </c>
      <c r="G40" s="264" t="s">
        <v>208</v>
      </c>
      <c r="H40" s="262"/>
      <c r="I40" s="265"/>
    </row>
    <row r="41">
      <c r="A41" s="262" t="s">
        <v>733</v>
      </c>
      <c r="B41" s="263">
        <v>46205.0</v>
      </c>
      <c r="C41" s="263">
        <f t="shared" ref="C41:C42" si="8">B41+4</f>
        <v>46209</v>
      </c>
      <c r="D41" s="262" t="s">
        <v>742</v>
      </c>
      <c r="E41" s="262" t="s">
        <v>769</v>
      </c>
      <c r="F41" s="262" t="s">
        <v>766</v>
      </c>
      <c r="G41" s="264" t="s">
        <v>224</v>
      </c>
      <c r="H41" s="262"/>
      <c r="I41" s="265"/>
    </row>
    <row r="42">
      <c r="A42" s="262" t="s">
        <v>733</v>
      </c>
      <c r="B42" s="263">
        <v>46205.0</v>
      </c>
      <c r="C42" s="263">
        <f t="shared" si="8"/>
        <v>46209</v>
      </c>
      <c r="D42" s="262" t="s">
        <v>742</v>
      </c>
      <c r="E42" s="262" t="s">
        <v>774</v>
      </c>
      <c r="F42" s="262" t="s">
        <v>766</v>
      </c>
      <c r="G42" s="264" t="s">
        <v>224</v>
      </c>
      <c r="H42" s="262"/>
      <c r="I42" s="265"/>
    </row>
    <row r="43">
      <c r="A43" s="262" t="s">
        <v>733</v>
      </c>
      <c r="B43" s="263">
        <v>46205.0</v>
      </c>
      <c r="C43" s="263">
        <f>B43+15</f>
        <v>46220</v>
      </c>
      <c r="D43" s="262" t="s">
        <v>742</v>
      </c>
      <c r="E43" s="262" t="s">
        <v>772</v>
      </c>
      <c r="F43" s="262" t="s">
        <v>780</v>
      </c>
      <c r="G43" s="264" t="s">
        <v>208</v>
      </c>
      <c r="H43" s="262"/>
      <c r="I43" s="265"/>
    </row>
    <row r="44">
      <c r="A44" s="267" t="s">
        <v>781</v>
      </c>
      <c r="B44" s="263">
        <v>46129.0</v>
      </c>
      <c r="C44" s="263">
        <v>46134.0</v>
      </c>
      <c r="D44" s="262" t="s">
        <v>428</v>
      </c>
      <c r="E44" s="262" t="s">
        <v>436</v>
      </c>
      <c r="F44" s="262" t="s">
        <v>782</v>
      </c>
      <c r="G44" s="264" t="s">
        <v>75</v>
      </c>
      <c r="H44" s="266"/>
      <c r="I44" s="268"/>
    </row>
    <row r="45">
      <c r="A45" s="267" t="s">
        <v>781</v>
      </c>
      <c r="B45" s="263">
        <v>46129.0</v>
      </c>
      <c r="C45" s="263">
        <v>46134.0</v>
      </c>
      <c r="D45" s="262" t="s">
        <v>428</v>
      </c>
      <c r="E45" s="262" t="s">
        <v>436</v>
      </c>
      <c r="F45" s="262" t="s">
        <v>783</v>
      </c>
      <c r="G45" s="264" t="s">
        <v>75</v>
      </c>
      <c r="H45" s="266"/>
      <c r="I45" s="268"/>
    </row>
    <row r="46">
      <c r="A46" s="267" t="s">
        <v>494</v>
      </c>
      <c r="B46" s="263">
        <v>46118.0</v>
      </c>
      <c r="C46" s="263">
        <v>46122.0</v>
      </c>
      <c r="D46" s="266" t="s">
        <v>319</v>
      </c>
      <c r="E46" s="266" t="s">
        <v>784</v>
      </c>
      <c r="F46" s="269" t="s">
        <v>785</v>
      </c>
      <c r="G46" s="270" t="s">
        <v>171</v>
      </c>
      <c r="H46" s="270" t="s">
        <v>172</v>
      </c>
      <c r="I46" s="268"/>
    </row>
    <row r="47">
      <c r="A47" s="267" t="s">
        <v>494</v>
      </c>
      <c r="B47" s="263">
        <v>46118.0</v>
      </c>
      <c r="C47" s="263">
        <v>46122.0</v>
      </c>
      <c r="D47" s="266" t="s">
        <v>319</v>
      </c>
      <c r="E47" s="266" t="s">
        <v>786</v>
      </c>
      <c r="F47" s="266" t="s">
        <v>787</v>
      </c>
      <c r="G47" s="270" t="s">
        <v>172</v>
      </c>
      <c r="H47" s="270" t="s">
        <v>171</v>
      </c>
      <c r="I47" s="267"/>
    </row>
    <row r="48">
      <c r="A48" s="267" t="s">
        <v>494</v>
      </c>
      <c r="B48" s="263">
        <v>46125.0</v>
      </c>
      <c r="C48" s="263">
        <v>46129.0</v>
      </c>
      <c r="D48" s="266" t="s">
        <v>319</v>
      </c>
      <c r="E48" s="266" t="s">
        <v>788</v>
      </c>
      <c r="F48" s="262" t="s">
        <v>789</v>
      </c>
      <c r="G48" s="270" t="s">
        <v>171</v>
      </c>
      <c r="H48" s="270" t="s">
        <v>172</v>
      </c>
      <c r="I48" s="268"/>
    </row>
    <row r="49">
      <c r="A49" s="267" t="s">
        <v>494</v>
      </c>
      <c r="B49" s="263">
        <v>46125.0</v>
      </c>
      <c r="C49" s="263">
        <v>46129.0</v>
      </c>
      <c r="D49" s="266" t="s">
        <v>319</v>
      </c>
      <c r="E49" s="266" t="s">
        <v>788</v>
      </c>
      <c r="F49" s="262" t="s">
        <v>790</v>
      </c>
      <c r="G49" s="270" t="s">
        <v>171</v>
      </c>
      <c r="H49" s="270" t="s">
        <v>172</v>
      </c>
      <c r="I49" s="268"/>
    </row>
    <row r="50">
      <c r="A50" s="267" t="s">
        <v>494</v>
      </c>
      <c r="B50" s="263">
        <v>46125.0</v>
      </c>
      <c r="C50" s="263">
        <v>46129.0</v>
      </c>
      <c r="D50" s="266" t="s">
        <v>319</v>
      </c>
      <c r="E50" s="266" t="s">
        <v>738</v>
      </c>
      <c r="F50" s="262" t="s">
        <v>791</v>
      </c>
      <c r="G50" s="270" t="s">
        <v>159</v>
      </c>
      <c r="H50" s="270" t="s">
        <v>172</v>
      </c>
      <c r="I50" s="268"/>
    </row>
    <row r="51">
      <c r="A51" s="267" t="s">
        <v>494</v>
      </c>
      <c r="B51" s="263">
        <v>46125.0</v>
      </c>
      <c r="C51" s="263">
        <v>46129.0</v>
      </c>
      <c r="D51" s="266" t="s">
        <v>319</v>
      </c>
      <c r="E51" s="266" t="s">
        <v>792</v>
      </c>
      <c r="F51" s="262" t="s">
        <v>793</v>
      </c>
      <c r="G51" s="270" t="s">
        <v>172</v>
      </c>
      <c r="H51" s="270" t="s">
        <v>171</v>
      </c>
      <c r="I51" s="268"/>
    </row>
    <row r="52">
      <c r="A52" s="267" t="s">
        <v>494</v>
      </c>
      <c r="B52" s="263">
        <v>46132.0</v>
      </c>
      <c r="C52" s="263">
        <v>46136.0</v>
      </c>
      <c r="D52" s="266" t="s">
        <v>319</v>
      </c>
      <c r="E52" s="266" t="s">
        <v>792</v>
      </c>
      <c r="F52" s="262" t="s">
        <v>794</v>
      </c>
      <c r="G52" s="270" t="s">
        <v>172</v>
      </c>
      <c r="H52" s="270" t="s">
        <v>171</v>
      </c>
      <c r="I52" s="268"/>
    </row>
    <row r="53">
      <c r="A53" s="267" t="s">
        <v>494</v>
      </c>
      <c r="B53" s="263">
        <v>46132.0</v>
      </c>
      <c r="C53" s="263">
        <v>46136.0</v>
      </c>
      <c r="D53" s="266" t="s">
        <v>319</v>
      </c>
      <c r="E53" s="266" t="s">
        <v>792</v>
      </c>
      <c r="F53" s="262" t="s">
        <v>795</v>
      </c>
      <c r="G53" s="270" t="s">
        <v>172</v>
      </c>
      <c r="H53" s="270" t="s">
        <v>171</v>
      </c>
      <c r="I53" s="268"/>
    </row>
    <row r="54">
      <c r="A54" s="267" t="s">
        <v>494</v>
      </c>
      <c r="B54" s="263">
        <v>46146.0</v>
      </c>
      <c r="C54" s="263">
        <v>46150.0</v>
      </c>
      <c r="D54" s="266" t="s">
        <v>319</v>
      </c>
      <c r="E54" s="266" t="s">
        <v>792</v>
      </c>
      <c r="F54" s="262" t="s">
        <v>796</v>
      </c>
      <c r="G54" s="264" t="s">
        <v>159</v>
      </c>
      <c r="H54" s="270" t="s">
        <v>171</v>
      </c>
      <c r="I54" s="268"/>
    </row>
    <row r="55">
      <c r="A55" s="267" t="s">
        <v>494</v>
      </c>
      <c r="B55" s="263">
        <v>46146.0</v>
      </c>
      <c r="C55" s="263">
        <v>46150.0</v>
      </c>
      <c r="D55" s="262" t="s">
        <v>319</v>
      </c>
      <c r="E55" s="266" t="s">
        <v>738</v>
      </c>
      <c r="F55" s="262" t="s">
        <v>797</v>
      </c>
      <c r="G55" s="270" t="s">
        <v>159</v>
      </c>
      <c r="H55" s="270" t="s">
        <v>172</v>
      </c>
      <c r="I55" s="268"/>
    </row>
    <row r="56">
      <c r="A56" s="267" t="s">
        <v>494</v>
      </c>
      <c r="B56" s="263">
        <v>46146.0</v>
      </c>
      <c r="C56" s="263">
        <v>46150.0</v>
      </c>
      <c r="D56" s="262" t="s">
        <v>319</v>
      </c>
      <c r="E56" s="266" t="s">
        <v>788</v>
      </c>
      <c r="F56" s="262" t="s">
        <v>798</v>
      </c>
      <c r="G56" s="264" t="s">
        <v>171</v>
      </c>
      <c r="H56" s="266"/>
      <c r="I56" s="268"/>
    </row>
    <row r="57">
      <c r="A57" s="267" t="s">
        <v>494</v>
      </c>
      <c r="B57" s="263">
        <v>46153.0</v>
      </c>
      <c r="C57" s="263">
        <v>46157.0</v>
      </c>
      <c r="D57" s="262" t="s">
        <v>319</v>
      </c>
      <c r="E57" s="266" t="s">
        <v>792</v>
      </c>
      <c r="F57" s="262" t="s">
        <v>799</v>
      </c>
      <c r="G57" s="264" t="s">
        <v>171</v>
      </c>
      <c r="H57" s="264" t="s">
        <v>159</v>
      </c>
      <c r="I57" s="268"/>
    </row>
    <row r="58">
      <c r="A58" s="267" t="s">
        <v>494</v>
      </c>
      <c r="B58" s="263">
        <v>46153.0</v>
      </c>
      <c r="C58" s="263">
        <v>46157.0</v>
      </c>
      <c r="D58" s="262" t="s">
        <v>428</v>
      </c>
      <c r="E58" s="266" t="s">
        <v>738</v>
      </c>
      <c r="F58" s="262" t="s">
        <v>800</v>
      </c>
      <c r="G58" s="270" t="s">
        <v>159</v>
      </c>
      <c r="H58" s="264" t="s">
        <v>171</v>
      </c>
      <c r="I58" s="268"/>
    </row>
    <row r="59">
      <c r="A59" s="267" t="s">
        <v>494</v>
      </c>
      <c r="B59" s="263">
        <v>46160.0</v>
      </c>
      <c r="C59" s="263">
        <v>46164.0</v>
      </c>
      <c r="D59" s="262" t="s">
        <v>742</v>
      </c>
      <c r="E59" s="266" t="s">
        <v>738</v>
      </c>
      <c r="F59" s="262" t="s">
        <v>801</v>
      </c>
      <c r="G59" s="264" t="s">
        <v>159</v>
      </c>
      <c r="H59" s="264" t="s">
        <v>171</v>
      </c>
      <c r="I59" s="268"/>
    </row>
    <row r="60">
      <c r="A60" s="267" t="s">
        <v>494</v>
      </c>
      <c r="B60" s="263">
        <v>46160.0</v>
      </c>
      <c r="C60" s="263">
        <v>46164.0</v>
      </c>
      <c r="D60" s="262" t="s">
        <v>742</v>
      </c>
      <c r="E60" s="266" t="s">
        <v>792</v>
      </c>
      <c r="F60" s="262" t="s">
        <v>802</v>
      </c>
      <c r="G60" s="264" t="s">
        <v>159</v>
      </c>
      <c r="H60" s="264" t="s">
        <v>171</v>
      </c>
      <c r="I60" s="268"/>
    </row>
    <row r="61">
      <c r="A61" s="267" t="s">
        <v>494</v>
      </c>
      <c r="B61" s="263">
        <v>46167.0</v>
      </c>
      <c r="C61" s="263">
        <v>46171.0</v>
      </c>
      <c r="D61" s="262" t="s">
        <v>742</v>
      </c>
      <c r="E61" s="262" t="s">
        <v>803</v>
      </c>
      <c r="F61" s="262" t="s">
        <v>804</v>
      </c>
      <c r="G61" s="264" t="s">
        <v>159</v>
      </c>
      <c r="H61" s="264" t="s">
        <v>171</v>
      </c>
      <c r="I61" s="268"/>
    </row>
    <row r="62">
      <c r="A62" s="267" t="s">
        <v>494</v>
      </c>
      <c r="B62" s="263">
        <v>46167.0</v>
      </c>
      <c r="C62" s="263">
        <v>46171.0</v>
      </c>
      <c r="D62" s="262" t="s">
        <v>742</v>
      </c>
      <c r="E62" s="262" t="s">
        <v>803</v>
      </c>
      <c r="F62" s="262" t="s">
        <v>805</v>
      </c>
      <c r="G62" s="264" t="s">
        <v>171</v>
      </c>
      <c r="H62" s="264" t="s">
        <v>171</v>
      </c>
      <c r="I62" s="268"/>
    </row>
    <row r="63">
      <c r="A63" s="267" t="s">
        <v>494</v>
      </c>
      <c r="B63" s="263">
        <v>46174.0</v>
      </c>
      <c r="C63" s="263">
        <v>46178.0</v>
      </c>
      <c r="D63" s="262" t="s">
        <v>742</v>
      </c>
      <c r="E63" s="262" t="s">
        <v>792</v>
      </c>
      <c r="F63" s="271" t="s">
        <v>806</v>
      </c>
      <c r="G63" s="264" t="s">
        <v>171</v>
      </c>
      <c r="H63" s="264" t="s">
        <v>171</v>
      </c>
      <c r="I63" s="268"/>
    </row>
    <row r="64">
      <c r="A64" s="267" t="s">
        <v>494</v>
      </c>
      <c r="B64" s="263">
        <v>46181.0</v>
      </c>
      <c r="C64" s="263">
        <v>46185.0</v>
      </c>
      <c r="D64" s="262" t="s">
        <v>742</v>
      </c>
      <c r="E64" s="266" t="s">
        <v>738</v>
      </c>
      <c r="F64" s="271" t="s">
        <v>807</v>
      </c>
      <c r="G64" s="264" t="s">
        <v>159</v>
      </c>
      <c r="H64" s="272" t="s">
        <v>171</v>
      </c>
      <c r="I64" s="273"/>
    </row>
    <row r="65">
      <c r="A65" s="267" t="s">
        <v>494</v>
      </c>
      <c r="B65" s="263">
        <v>46188.0</v>
      </c>
      <c r="C65" s="263">
        <v>46192.0</v>
      </c>
      <c r="D65" s="262" t="s">
        <v>742</v>
      </c>
      <c r="E65" s="266" t="s">
        <v>738</v>
      </c>
      <c r="F65" s="271" t="s">
        <v>808</v>
      </c>
      <c r="G65" s="264" t="s">
        <v>159</v>
      </c>
      <c r="H65" s="272" t="s">
        <v>171</v>
      </c>
      <c r="I65" s="273"/>
    </row>
    <row r="66">
      <c r="A66" s="267" t="s">
        <v>494</v>
      </c>
      <c r="B66" s="263">
        <v>46195.0</v>
      </c>
      <c r="C66" s="263">
        <v>46199.0</v>
      </c>
      <c r="D66" s="262" t="s">
        <v>742</v>
      </c>
      <c r="E66" s="271" t="s">
        <v>809</v>
      </c>
      <c r="F66" s="271" t="s">
        <v>810</v>
      </c>
      <c r="G66" s="264" t="s">
        <v>159</v>
      </c>
      <c r="H66" s="272" t="s">
        <v>171</v>
      </c>
      <c r="I66" s="273"/>
    </row>
    <row r="67">
      <c r="A67" s="274" t="s">
        <v>811</v>
      </c>
      <c r="B67" s="263">
        <v>46125.0</v>
      </c>
      <c r="C67" s="263">
        <v>46129.0</v>
      </c>
      <c r="D67" s="262" t="s">
        <v>319</v>
      </c>
      <c r="E67" s="274" t="s">
        <v>772</v>
      </c>
      <c r="F67" s="271" t="s">
        <v>812</v>
      </c>
      <c r="G67" s="272" t="s">
        <v>208</v>
      </c>
      <c r="H67" s="274"/>
      <c r="I67" s="273"/>
    </row>
    <row r="68">
      <c r="A68" s="274" t="s">
        <v>811</v>
      </c>
      <c r="B68" s="263">
        <v>46125.0</v>
      </c>
      <c r="C68" s="263">
        <v>46129.0</v>
      </c>
      <c r="D68" s="262" t="s">
        <v>319</v>
      </c>
      <c r="E68" s="274" t="s">
        <v>772</v>
      </c>
      <c r="F68" s="271" t="s">
        <v>813</v>
      </c>
      <c r="G68" s="272" t="s">
        <v>208</v>
      </c>
      <c r="H68" s="274"/>
      <c r="I68" s="273"/>
    </row>
    <row r="69">
      <c r="A69" s="274" t="s">
        <v>811</v>
      </c>
      <c r="B69" s="263">
        <v>46125.0</v>
      </c>
      <c r="C69" s="263">
        <v>46129.0</v>
      </c>
      <c r="D69" s="262" t="s">
        <v>319</v>
      </c>
      <c r="E69" s="274" t="s">
        <v>738</v>
      </c>
      <c r="F69" s="271" t="s">
        <v>814</v>
      </c>
      <c r="G69" s="272" t="s">
        <v>171</v>
      </c>
      <c r="H69" s="274"/>
      <c r="I69" s="273"/>
    </row>
    <row r="70">
      <c r="A70" s="274" t="s">
        <v>811</v>
      </c>
      <c r="B70" s="263">
        <v>46125.0</v>
      </c>
      <c r="C70" s="263">
        <v>46129.0</v>
      </c>
      <c r="D70" s="262" t="s">
        <v>319</v>
      </c>
      <c r="E70" s="271" t="s">
        <v>743</v>
      </c>
      <c r="F70" s="271" t="s">
        <v>815</v>
      </c>
      <c r="G70" s="272" t="s">
        <v>171</v>
      </c>
      <c r="H70" s="274"/>
      <c r="I70" s="273"/>
    </row>
    <row r="71">
      <c r="A71" s="274" t="s">
        <v>811</v>
      </c>
      <c r="B71" s="263">
        <v>46125.0</v>
      </c>
      <c r="C71" s="263">
        <v>46129.0</v>
      </c>
      <c r="D71" s="262" t="s">
        <v>319</v>
      </c>
      <c r="E71" s="274" t="s">
        <v>738</v>
      </c>
      <c r="F71" s="271" t="s">
        <v>816</v>
      </c>
      <c r="G71" s="272" t="s">
        <v>171</v>
      </c>
      <c r="H71" s="272" t="s">
        <v>208</v>
      </c>
      <c r="I71" s="273"/>
    </row>
    <row r="72">
      <c r="A72" s="274" t="s">
        <v>811</v>
      </c>
      <c r="B72" s="263">
        <v>46125.0</v>
      </c>
      <c r="C72" s="263">
        <v>46129.0</v>
      </c>
      <c r="D72" s="266" t="s">
        <v>319</v>
      </c>
      <c r="E72" s="274" t="s">
        <v>772</v>
      </c>
      <c r="F72" s="271" t="s">
        <v>817</v>
      </c>
      <c r="G72" s="272" t="s">
        <v>208</v>
      </c>
      <c r="H72" s="274"/>
      <c r="I72" s="273"/>
    </row>
    <row r="73">
      <c r="A73" s="274" t="s">
        <v>811</v>
      </c>
      <c r="B73" s="263">
        <v>46132.0</v>
      </c>
      <c r="C73" s="263">
        <v>46136.0</v>
      </c>
      <c r="D73" s="262" t="s">
        <v>319</v>
      </c>
      <c r="E73" s="274" t="s">
        <v>738</v>
      </c>
      <c r="F73" s="271" t="s">
        <v>818</v>
      </c>
      <c r="G73" s="272" t="s">
        <v>171</v>
      </c>
      <c r="H73" s="272" t="s">
        <v>208</v>
      </c>
      <c r="I73" s="273"/>
    </row>
    <row r="74">
      <c r="A74" s="274" t="s">
        <v>811</v>
      </c>
      <c r="B74" s="263">
        <v>46139.0</v>
      </c>
      <c r="C74" s="263">
        <v>46143.0</v>
      </c>
      <c r="D74" s="262" t="s">
        <v>319</v>
      </c>
      <c r="E74" s="274" t="s">
        <v>738</v>
      </c>
      <c r="F74" s="271" t="s">
        <v>819</v>
      </c>
      <c r="G74" s="272" t="s">
        <v>171</v>
      </c>
      <c r="H74" s="272" t="s">
        <v>208</v>
      </c>
      <c r="I74" s="273"/>
    </row>
    <row r="75">
      <c r="A75" s="274" t="s">
        <v>811</v>
      </c>
      <c r="B75" s="263">
        <v>46146.0</v>
      </c>
      <c r="C75" s="263">
        <v>46150.0</v>
      </c>
      <c r="D75" s="262" t="s">
        <v>319</v>
      </c>
      <c r="E75" s="271" t="s">
        <v>820</v>
      </c>
      <c r="F75" s="271" t="s">
        <v>821</v>
      </c>
      <c r="G75" s="272" t="s">
        <v>171</v>
      </c>
      <c r="H75" s="272" t="s">
        <v>101</v>
      </c>
      <c r="I75" s="273"/>
    </row>
    <row r="76">
      <c r="A76" s="274" t="s">
        <v>811</v>
      </c>
      <c r="B76" s="263">
        <v>46146.0</v>
      </c>
      <c r="C76" s="263">
        <v>46150.0</v>
      </c>
      <c r="D76" s="262" t="s">
        <v>319</v>
      </c>
      <c r="E76" s="271" t="s">
        <v>743</v>
      </c>
      <c r="F76" s="271" t="s">
        <v>822</v>
      </c>
      <c r="G76" s="272" t="s">
        <v>171</v>
      </c>
      <c r="H76" s="274"/>
      <c r="I76" s="273"/>
    </row>
    <row r="77">
      <c r="A77" s="274"/>
      <c r="B77" s="263">
        <v>46146.0</v>
      </c>
      <c r="C77" s="263">
        <v>46150.0</v>
      </c>
      <c r="D77" s="262" t="s">
        <v>319</v>
      </c>
      <c r="E77" s="274" t="s">
        <v>772</v>
      </c>
      <c r="F77" s="271" t="s">
        <v>823</v>
      </c>
      <c r="G77" s="272" t="s">
        <v>208</v>
      </c>
      <c r="H77" s="274"/>
      <c r="I77" s="273"/>
    </row>
    <row r="78">
      <c r="A78" s="274" t="s">
        <v>811</v>
      </c>
      <c r="B78" s="263">
        <v>46153.0</v>
      </c>
      <c r="C78" s="263">
        <v>46157.0</v>
      </c>
      <c r="D78" s="262" t="s">
        <v>319</v>
      </c>
      <c r="E78" s="274" t="s">
        <v>738</v>
      </c>
      <c r="F78" s="271" t="s">
        <v>824</v>
      </c>
      <c r="G78" s="272" t="s">
        <v>171</v>
      </c>
      <c r="H78" s="272" t="s">
        <v>208</v>
      </c>
      <c r="I78" s="273"/>
    </row>
    <row r="79">
      <c r="A79" s="274" t="s">
        <v>811</v>
      </c>
      <c r="B79" s="263">
        <v>46153.0</v>
      </c>
      <c r="C79" s="263">
        <v>46157.0</v>
      </c>
      <c r="D79" s="262" t="s">
        <v>319</v>
      </c>
      <c r="E79" s="274" t="s">
        <v>738</v>
      </c>
      <c r="F79" s="271" t="s">
        <v>825</v>
      </c>
      <c r="G79" s="272" t="s">
        <v>171</v>
      </c>
      <c r="H79" s="272" t="s">
        <v>208</v>
      </c>
      <c r="I79" s="273"/>
    </row>
    <row r="80">
      <c r="A80" s="274" t="s">
        <v>811</v>
      </c>
      <c r="B80" s="263">
        <v>46153.0</v>
      </c>
      <c r="C80" s="263">
        <v>46157.0</v>
      </c>
      <c r="D80" s="262" t="s">
        <v>428</v>
      </c>
      <c r="E80" s="274" t="s">
        <v>738</v>
      </c>
      <c r="F80" s="271" t="s">
        <v>826</v>
      </c>
      <c r="G80" s="272" t="s">
        <v>171</v>
      </c>
      <c r="H80" s="271"/>
      <c r="I80" s="273"/>
    </row>
    <row r="81">
      <c r="A81" s="274" t="s">
        <v>811</v>
      </c>
      <c r="B81" s="263">
        <v>46153.0</v>
      </c>
      <c r="C81" s="263">
        <v>46157.0</v>
      </c>
      <c r="D81" s="262" t="s">
        <v>428</v>
      </c>
      <c r="E81" s="271" t="s">
        <v>827</v>
      </c>
      <c r="F81" s="271" t="s">
        <v>828</v>
      </c>
      <c r="G81" s="272" t="s">
        <v>171</v>
      </c>
      <c r="H81" s="272" t="s">
        <v>101</v>
      </c>
      <c r="I81" s="273"/>
    </row>
    <row r="82">
      <c r="A82" s="274" t="s">
        <v>811</v>
      </c>
      <c r="B82" s="263">
        <v>46160.0</v>
      </c>
      <c r="C82" s="263">
        <v>46164.0</v>
      </c>
      <c r="D82" s="262" t="s">
        <v>742</v>
      </c>
      <c r="E82" s="271" t="s">
        <v>803</v>
      </c>
      <c r="F82" s="271" t="s">
        <v>829</v>
      </c>
      <c r="G82" s="272" t="s">
        <v>171</v>
      </c>
      <c r="H82" s="272" t="s">
        <v>101</v>
      </c>
      <c r="I82" s="273"/>
    </row>
    <row r="83">
      <c r="A83" s="274" t="s">
        <v>811</v>
      </c>
      <c r="B83" s="263">
        <v>46167.0</v>
      </c>
      <c r="C83" s="263">
        <v>46171.0</v>
      </c>
      <c r="D83" s="262" t="s">
        <v>742</v>
      </c>
      <c r="E83" s="271" t="s">
        <v>803</v>
      </c>
      <c r="F83" s="271" t="s">
        <v>830</v>
      </c>
      <c r="G83" s="272" t="s">
        <v>171</v>
      </c>
      <c r="H83" s="272" t="s">
        <v>208</v>
      </c>
      <c r="I83" s="273"/>
    </row>
    <row r="84">
      <c r="A84" s="274" t="s">
        <v>811</v>
      </c>
      <c r="B84" s="263">
        <v>46174.0</v>
      </c>
      <c r="C84" s="263">
        <v>46178.0</v>
      </c>
      <c r="D84" s="262" t="s">
        <v>742</v>
      </c>
      <c r="E84" s="271" t="s">
        <v>809</v>
      </c>
      <c r="F84" s="271" t="s">
        <v>831</v>
      </c>
      <c r="G84" s="272" t="s">
        <v>171</v>
      </c>
      <c r="H84" s="274"/>
      <c r="I84" s="273"/>
    </row>
  </sheetData>
  <autoFilter ref="$A$2:$I$84"/>
  <mergeCells count="1">
    <mergeCell ref="A1:I1"/>
  </mergeCells>
  <conditionalFormatting sqref="I7:I29 I31:I43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D3:D84">
      <formula1>"Done,To Do,Doing"</formula1>
    </dataValidation>
  </dataValidations>
  <hyperlinks>
    <hyperlink r:id="rId1" ref="G3"/>
    <hyperlink r:id="rId2" ref="H3"/>
    <hyperlink r:id="rId3" ref="G4"/>
    <hyperlink r:id="rId4" ref="H4"/>
    <hyperlink r:id="rId5" ref="G5"/>
    <hyperlink r:id="rId6" ref="H5"/>
    <hyperlink r:id="rId7" ref="G6"/>
    <hyperlink r:id="rId8" ref="H6"/>
    <hyperlink r:id="rId9" ref="G7"/>
    <hyperlink r:id="rId10" ref="H7"/>
    <hyperlink r:id="rId11" ref="G8"/>
    <hyperlink r:id="rId12" ref="G9"/>
    <hyperlink r:id="rId13" ref="G10"/>
    <hyperlink r:id="rId14" ref="G11"/>
    <hyperlink r:id="rId15" ref="G12"/>
    <hyperlink r:id="rId16" ref="G13"/>
    <hyperlink r:id="rId17" ref="G14"/>
    <hyperlink r:id="rId18" ref="G15"/>
    <hyperlink r:id="rId19" ref="G16"/>
    <hyperlink r:id="rId20" ref="H16"/>
    <hyperlink r:id="rId21" ref="G17"/>
    <hyperlink r:id="rId22" ref="H17"/>
    <hyperlink r:id="rId23" ref="G18"/>
    <hyperlink r:id="rId24" ref="H18"/>
    <hyperlink r:id="rId25" ref="G19"/>
    <hyperlink r:id="rId26" ref="H19"/>
    <hyperlink r:id="rId27" ref="G20"/>
    <hyperlink r:id="rId28" ref="H20"/>
    <hyperlink r:id="rId29" ref="G21"/>
    <hyperlink r:id="rId30" ref="G22"/>
    <hyperlink r:id="rId31" ref="H22"/>
    <hyperlink r:id="rId32" ref="G23"/>
    <hyperlink r:id="rId33" ref="H23"/>
    <hyperlink r:id="rId34" ref="G24"/>
    <hyperlink r:id="rId35" ref="H24"/>
    <hyperlink r:id="rId36" ref="G25"/>
    <hyperlink r:id="rId37" ref="H25"/>
    <hyperlink r:id="rId38" ref="G26"/>
    <hyperlink r:id="rId39" ref="G27"/>
    <hyperlink r:id="rId40" ref="G28"/>
    <hyperlink r:id="rId41" ref="G29"/>
    <hyperlink r:id="rId42" ref="G30"/>
    <hyperlink r:id="rId43" ref="G31"/>
    <hyperlink r:id="rId44" ref="G32"/>
    <hyperlink r:id="rId45" ref="H32"/>
    <hyperlink r:id="rId46" ref="G33"/>
    <hyperlink r:id="rId47" ref="H33"/>
    <hyperlink r:id="rId48" ref="G34"/>
    <hyperlink r:id="rId49" ref="H34"/>
    <hyperlink r:id="rId50" ref="G35"/>
    <hyperlink r:id="rId51" ref="G36"/>
    <hyperlink r:id="rId52" ref="H36"/>
    <hyperlink r:id="rId53" ref="G37"/>
    <hyperlink r:id="rId54" ref="H37"/>
    <hyperlink r:id="rId55" ref="G38"/>
    <hyperlink r:id="rId56" ref="G39"/>
    <hyperlink r:id="rId57" ref="H39"/>
    <hyperlink r:id="rId58" ref="G40"/>
    <hyperlink r:id="rId59" ref="G41"/>
    <hyperlink r:id="rId60" ref="G42"/>
    <hyperlink r:id="rId61" ref="G43"/>
    <hyperlink r:id="rId62" ref="G44"/>
    <hyperlink r:id="rId63" ref="G45"/>
    <hyperlink r:id="rId64" ref="F46"/>
    <hyperlink r:id="rId65" ref="G46"/>
    <hyperlink r:id="rId66" ref="H46"/>
    <hyperlink r:id="rId67" ref="G47"/>
    <hyperlink r:id="rId68" ref="H47"/>
    <hyperlink r:id="rId69" ref="G48"/>
    <hyperlink r:id="rId70" ref="H48"/>
    <hyperlink r:id="rId71" ref="G49"/>
    <hyperlink r:id="rId72" ref="H49"/>
    <hyperlink r:id="rId73" ref="G50"/>
    <hyperlink r:id="rId74" ref="H50"/>
    <hyperlink r:id="rId75" ref="G51"/>
    <hyperlink r:id="rId76" ref="H51"/>
    <hyperlink r:id="rId77" ref="G52"/>
    <hyperlink r:id="rId78" ref="H52"/>
    <hyperlink r:id="rId79" ref="G53"/>
    <hyperlink r:id="rId80" ref="H53"/>
    <hyperlink r:id="rId81" ref="G54"/>
    <hyperlink r:id="rId82" ref="H54"/>
    <hyperlink r:id="rId83" ref="G55"/>
    <hyperlink r:id="rId84" ref="H55"/>
    <hyperlink r:id="rId85" ref="G56"/>
    <hyperlink r:id="rId86" ref="G57"/>
    <hyperlink r:id="rId87" ref="H57"/>
    <hyperlink r:id="rId88" ref="G58"/>
    <hyperlink r:id="rId89" ref="H58"/>
    <hyperlink r:id="rId90" ref="G59"/>
    <hyperlink r:id="rId91" ref="H59"/>
    <hyperlink r:id="rId92" ref="G60"/>
    <hyperlink r:id="rId93" ref="H60"/>
    <hyperlink r:id="rId94" ref="G61"/>
    <hyperlink r:id="rId95" ref="H61"/>
    <hyperlink r:id="rId96" ref="G62"/>
    <hyperlink r:id="rId97" ref="H62"/>
    <hyperlink r:id="rId98" ref="G63"/>
    <hyperlink r:id="rId99" ref="H63"/>
    <hyperlink r:id="rId100" ref="G64"/>
    <hyperlink r:id="rId101" ref="H64"/>
    <hyperlink r:id="rId102" ref="G65"/>
    <hyperlink r:id="rId103" ref="H65"/>
    <hyperlink r:id="rId104" ref="G66"/>
    <hyperlink r:id="rId105" ref="H66"/>
    <hyperlink r:id="rId106" ref="G67"/>
    <hyperlink r:id="rId107" ref="G68"/>
    <hyperlink r:id="rId108" ref="G69"/>
    <hyperlink r:id="rId109" ref="G70"/>
    <hyperlink r:id="rId110" ref="G71"/>
    <hyperlink r:id="rId111" ref="H71"/>
    <hyperlink r:id="rId112" ref="G72"/>
    <hyperlink r:id="rId113" ref="G73"/>
    <hyperlink r:id="rId114" ref="H73"/>
    <hyperlink r:id="rId115" ref="G74"/>
    <hyperlink r:id="rId116" ref="H74"/>
    <hyperlink r:id="rId117" ref="G75"/>
    <hyperlink r:id="rId118" ref="H75"/>
    <hyperlink r:id="rId119" ref="G76"/>
    <hyperlink r:id="rId120" ref="G77"/>
    <hyperlink r:id="rId121" ref="G78"/>
    <hyperlink r:id="rId122" ref="H78"/>
    <hyperlink r:id="rId123" ref="G79"/>
    <hyperlink r:id="rId124" ref="H79"/>
    <hyperlink r:id="rId125" ref="G80"/>
    <hyperlink r:id="rId126" ref="G81"/>
    <hyperlink r:id="rId127" ref="H81"/>
    <hyperlink r:id="rId128" ref="G82"/>
    <hyperlink r:id="rId129" ref="H82"/>
    <hyperlink r:id="rId130" ref="G83"/>
    <hyperlink r:id="rId131" ref="H83"/>
    <hyperlink r:id="rId132" ref="G84"/>
  </hyperlinks>
  <drawing r:id="rId1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25"/>
    <col customWidth="1" min="3" max="4" width="6.25"/>
    <col customWidth="1" min="5" max="8" width="5.13"/>
    <col customWidth="1" hidden="1" min="9" max="9" width="7.5"/>
    <col customWidth="1" min="10" max="25" width="5.13"/>
  </cols>
  <sheetData>
    <row r="1">
      <c r="A1" s="275"/>
      <c r="B1" s="276"/>
      <c r="C1" s="277" t="s">
        <v>832</v>
      </c>
      <c r="D1" s="277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277"/>
      <c r="S1" s="277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>
      <c r="A2" s="275"/>
      <c r="B2" s="278"/>
      <c r="C2" s="277" t="s">
        <v>833</v>
      </c>
      <c r="D2" s="277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277"/>
      <c r="S2" s="277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>
      <c r="A3" s="44"/>
      <c r="B3" s="279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77"/>
      <c r="S3" s="277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</row>
    <row r="4">
      <c r="A4" s="44"/>
      <c r="B4" s="282"/>
      <c r="C4" s="283" t="s">
        <v>6</v>
      </c>
      <c r="D4" s="284"/>
      <c r="E4" s="283" t="s">
        <v>7</v>
      </c>
      <c r="F4" s="285"/>
      <c r="G4" s="285"/>
      <c r="H4" s="284"/>
      <c r="I4" s="286" t="s">
        <v>834</v>
      </c>
      <c r="J4" s="283" t="s">
        <v>53</v>
      </c>
      <c r="K4" s="285"/>
      <c r="L4" s="285"/>
      <c r="M4" s="284"/>
      <c r="N4" s="283" t="s">
        <v>300</v>
      </c>
      <c r="O4" s="285"/>
      <c r="P4" s="285"/>
      <c r="Q4" s="284"/>
      <c r="R4" s="283" t="s">
        <v>301</v>
      </c>
      <c r="S4" s="285"/>
      <c r="T4" s="285"/>
      <c r="U4" s="284"/>
      <c r="V4" s="283" t="s">
        <v>302</v>
      </c>
      <c r="W4" s="285"/>
      <c r="X4" s="285"/>
      <c r="Y4" s="284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>
      <c r="A5" s="287"/>
      <c r="B5" s="288" t="s">
        <v>835</v>
      </c>
      <c r="C5" s="286" t="s">
        <v>311</v>
      </c>
      <c r="D5" s="286" t="s">
        <v>312</v>
      </c>
      <c r="E5" s="286" t="s">
        <v>313</v>
      </c>
      <c r="F5" s="286" t="s">
        <v>314</v>
      </c>
      <c r="G5" s="286" t="s">
        <v>311</v>
      </c>
      <c r="H5" s="286" t="s">
        <v>312</v>
      </c>
      <c r="I5" s="286" t="s">
        <v>12</v>
      </c>
      <c r="J5" s="286" t="s">
        <v>313</v>
      </c>
      <c r="K5" s="286" t="s">
        <v>314</v>
      </c>
      <c r="L5" s="286" t="s">
        <v>311</v>
      </c>
      <c r="M5" s="286" t="s">
        <v>312</v>
      </c>
      <c r="N5" s="286" t="s">
        <v>313</v>
      </c>
      <c r="O5" s="286" t="s">
        <v>314</v>
      </c>
      <c r="P5" s="286" t="s">
        <v>311</v>
      </c>
      <c r="Q5" s="286" t="s">
        <v>312</v>
      </c>
      <c r="R5" s="286" t="s">
        <v>313</v>
      </c>
      <c r="S5" s="286" t="s">
        <v>314</v>
      </c>
      <c r="T5" s="286" t="s">
        <v>311</v>
      </c>
      <c r="U5" s="286" t="s">
        <v>312</v>
      </c>
      <c r="V5" s="286" t="s">
        <v>313</v>
      </c>
      <c r="W5" s="286" t="s">
        <v>314</v>
      </c>
      <c r="X5" s="286" t="s">
        <v>311</v>
      </c>
      <c r="Y5" s="286" t="s">
        <v>312</v>
      </c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>
      <c r="A6" s="287"/>
      <c r="B6" s="288" t="s">
        <v>836</v>
      </c>
      <c r="C6" s="275">
        <v>5.0</v>
      </c>
      <c r="D6" s="275">
        <v>5.0</v>
      </c>
      <c r="E6" s="275">
        <v>3.0</v>
      </c>
      <c r="F6" s="275">
        <v>5.0</v>
      </c>
      <c r="G6" s="275">
        <v>5.0</v>
      </c>
      <c r="H6" s="275">
        <v>5.0</v>
      </c>
      <c r="I6" s="289">
        <f>SUM(C6:H6)/5</f>
        <v>5.6</v>
      </c>
      <c r="J6" s="275"/>
      <c r="K6" s="275"/>
      <c r="L6" s="275"/>
      <c r="M6" s="275"/>
      <c r="N6" s="289"/>
      <c r="O6" s="289"/>
      <c r="P6" s="289"/>
      <c r="Q6" s="289"/>
      <c r="R6" s="289"/>
      <c r="S6" s="289"/>
      <c r="T6" s="183"/>
      <c r="U6" s="183"/>
      <c r="V6" s="183"/>
      <c r="W6" s="183"/>
      <c r="X6" s="183"/>
      <c r="Y6" s="183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>
      <c r="A7" s="287"/>
      <c r="B7" s="288" t="s">
        <v>837</v>
      </c>
      <c r="C7" s="290" t="s">
        <v>838</v>
      </c>
      <c r="D7" s="290">
        <v>27.0</v>
      </c>
      <c r="E7" s="290" t="s">
        <v>12</v>
      </c>
      <c r="F7" s="291">
        <v>8.0</v>
      </c>
      <c r="G7" s="291"/>
      <c r="H7" s="291"/>
      <c r="I7" s="292">
        <v>5.3</v>
      </c>
      <c r="J7" s="293"/>
      <c r="K7" s="293"/>
      <c r="L7" s="293"/>
      <c r="M7" s="293"/>
      <c r="N7" s="294"/>
      <c r="O7" s="294"/>
      <c r="P7" s="294"/>
      <c r="Q7" s="294"/>
      <c r="R7" s="294"/>
      <c r="S7" s="294"/>
      <c r="T7" s="295"/>
      <c r="U7" s="295"/>
      <c r="V7" s="295"/>
      <c r="W7" s="295"/>
      <c r="X7" s="295"/>
      <c r="Y7" s="295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>
      <c r="A8" s="296"/>
      <c r="B8" s="297" t="s">
        <v>689</v>
      </c>
      <c r="C8" s="290" t="s">
        <v>838</v>
      </c>
      <c r="D8" s="291"/>
      <c r="E8" s="298">
        <v>46146.0</v>
      </c>
      <c r="F8" s="290">
        <v>8.0</v>
      </c>
      <c r="G8" s="291">
        <v>15.0</v>
      </c>
      <c r="H8" s="291"/>
      <c r="I8" s="292">
        <v>4.3</v>
      </c>
      <c r="J8" s="291"/>
      <c r="K8" s="291"/>
      <c r="L8" s="290">
        <v>20.0</v>
      </c>
      <c r="M8" s="291">
        <v>3.0</v>
      </c>
      <c r="N8" s="294"/>
      <c r="O8" s="294"/>
      <c r="P8" s="294"/>
      <c r="Q8" s="294"/>
      <c r="R8" s="294"/>
      <c r="S8" s="294"/>
      <c r="T8" s="295"/>
      <c r="U8" s="295"/>
      <c r="V8" s="295"/>
      <c r="W8" s="295"/>
      <c r="X8" s="295"/>
      <c r="Y8" s="295"/>
      <c r="Z8" s="31"/>
      <c r="AA8" s="31"/>
      <c r="AB8" s="31"/>
      <c r="AC8" s="31"/>
      <c r="AD8" s="31"/>
      <c r="AE8" s="31"/>
      <c r="AF8" s="31"/>
      <c r="AG8" s="31"/>
      <c r="AH8" s="31"/>
      <c r="AI8" s="31"/>
    </row>
    <row r="9">
      <c r="A9" s="296"/>
      <c r="B9" s="297" t="s">
        <v>625</v>
      </c>
      <c r="C9" s="290" t="s">
        <v>838</v>
      </c>
      <c r="D9" s="294"/>
      <c r="E9" s="298">
        <v>46146.0</v>
      </c>
      <c r="F9" s="291"/>
      <c r="G9" s="291"/>
      <c r="H9" s="290">
        <v>29.0</v>
      </c>
      <c r="I9" s="292">
        <v>5.3</v>
      </c>
      <c r="J9" s="290" t="s">
        <v>12</v>
      </c>
      <c r="K9" s="290" t="s">
        <v>12</v>
      </c>
      <c r="L9" s="290" t="s">
        <v>12</v>
      </c>
      <c r="M9" s="291">
        <v>28.0</v>
      </c>
      <c r="N9" s="294"/>
      <c r="O9" s="294"/>
      <c r="P9" s="294"/>
      <c r="Q9" s="294"/>
      <c r="R9" s="294"/>
      <c r="S9" s="294"/>
      <c r="T9" s="295"/>
      <c r="U9" s="295"/>
      <c r="V9" s="295"/>
      <c r="W9" s="295"/>
      <c r="X9" s="295"/>
      <c r="Y9" s="295"/>
      <c r="Z9" s="31"/>
      <c r="AA9" s="31"/>
      <c r="AB9" s="31"/>
      <c r="AC9" s="31"/>
      <c r="AD9" s="31"/>
      <c r="AE9" s="31"/>
      <c r="AF9" s="31"/>
      <c r="AG9" s="31"/>
      <c r="AH9" s="31"/>
      <c r="AI9" s="31"/>
    </row>
    <row r="10">
      <c r="A10" s="296"/>
      <c r="B10" s="297" t="s">
        <v>839</v>
      </c>
      <c r="C10" s="290" t="s">
        <v>838</v>
      </c>
      <c r="D10" s="294"/>
      <c r="E10" s="298">
        <v>46146.0</v>
      </c>
      <c r="F10" s="291"/>
      <c r="G10" s="299"/>
      <c r="H10" s="299"/>
      <c r="I10" s="292">
        <v>6.3</v>
      </c>
      <c r="J10" s="290">
        <v>6.0</v>
      </c>
      <c r="K10" s="290" t="s">
        <v>12</v>
      </c>
      <c r="L10" s="291">
        <v>20.0</v>
      </c>
      <c r="M10" s="291"/>
      <c r="N10" s="294"/>
      <c r="O10" s="294"/>
      <c r="P10" s="294"/>
      <c r="Q10" s="294"/>
      <c r="R10" s="294"/>
      <c r="S10" s="294"/>
      <c r="T10" s="295"/>
      <c r="U10" s="295"/>
      <c r="V10" s="295"/>
      <c r="W10" s="295"/>
      <c r="X10" s="295"/>
      <c r="Y10" s="295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r="11">
      <c r="A11" s="287"/>
      <c r="B11" s="288" t="s">
        <v>840</v>
      </c>
      <c r="C11" s="290" t="s">
        <v>838</v>
      </c>
      <c r="D11" s="294"/>
      <c r="E11" s="298">
        <v>46146.0</v>
      </c>
      <c r="F11" s="291"/>
      <c r="G11" s="299"/>
      <c r="H11" s="299"/>
      <c r="I11" s="292">
        <v>6.3</v>
      </c>
      <c r="J11" s="299"/>
      <c r="K11" s="299"/>
      <c r="L11" s="299"/>
      <c r="M11" s="299"/>
      <c r="N11" s="291"/>
      <c r="O11" s="291"/>
      <c r="P11" s="294"/>
      <c r="Q11" s="290">
        <v>24.0</v>
      </c>
      <c r="R11" s="291">
        <v>31.0</v>
      </c>
      <c r="S11" s="300"/>
      <c r="T11" s="295"/>
      <c r="U11" s="295"/>
      <c r="V11" s="295"/>
      <c r="W11" s="295"/>
      <c r="X11" s="290">
        <v>19.0</v>
      </c>
      <c r="Y11" s="291">
        <v>30.0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</row>
    <row r="12">
      <c r="A12" s="287"/>
      <c r="B12" s="288" t="s">
        <v>341</v>
      </c>
      <c r="C12" s="290" t="s">
        <v>838</v>
      </c>
      <c r="D12" s="301"/>
      <c r="E12" s="298">
        <v>46146.0</v>
      </c>
      <c r="F12" s="291"/>
      <c r="G12" s="301"/>
      <c r="H12" s="301"/>
      <c r="I12" s="292">
        <v>6.3</v>
      </c>
      <c r="J12" s="291"/>
      <c r="K12" s="291"/>
      <c r="L12" s="290">
        <v>20.0</v>
      </c>
      <c r="M12" s="290" t="s">
        <v>12</v>
      </c>
      <c r="N12" s="291">
        <v>7.0</v>
      </c>
      <c r="O12" s="291"/>
      <c r="P12" s="291"/>
      <c r="Q12" s="294"/>
      <c r="R12" s="294"/>
      <c r="S12" s="294"/>
      <c r="T12" s="295"/>
      <c r="U12" s="295"/>
      <c r="V12" s="295"/>
      <c r="W12" s="295"/>
      <c r="X12" s="295"/>
      <c r="Y12" s="295"/>
      <c r="Z12" s="31"/>
      <c r="AA12" s="31"/>
      <c r="AB12" s="31"/>
      <c r="AC12" s="31"/>
      <c r="AD12" s="31"/>
      <c r="AE12" s="31"/>
      <c r="AF12" s="31"/>
      <c r="AG12" s="31"/>
      <c r="AH12" s="31"/>
      <c r="AI12" s="31"/>
    </row>
    <row r="13">
      <c r="A13" s="287"/>
      <c r="B13" s="288" t="s">
        <v>841</v>
      </c>
      <c r="C13" s="290" t="s">
        <v>838</v>
      </c>
      <c r="D13" s="294"/>
      <c r="E13" s="298">
        <v>46146.0</v>
      </c>
      <c r="F13" s="291"/>
      <c r="G13" s="290">
        <v>22.0</v>
      </c>
      <c r="H13" s="290" t="s">
        <v>12</v>
      </c>
      <c r="I13" s="292">
        <v>4.3</v>
      </c>
      <c r="J13" s="291">
        <v>7.0</v>
      </c>
      <c r="K13" s="291"/>
      <c r="L13" s="299"/>
      <c r="M13" s="299"/>
      <c r="N13" s="294"/>
      <c r="O13" s="294"/>
      <c r="P13" s="294"/>
      <c r="Q13" s="294"/>
      <c r="R13" s="294"/>
      <c r="S13" s="294"/>
      <c r="T13" s="295"/>
      <c r="U13" s="295"/>
      <c r="V13" s="295"/>
      <c r="W13" s="295"/>
      <c r="X13" s="295"/>
      <c r="Y13" s="295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>
      <c r="A14" s="31"/>
      <c r="B14" s="302"/>
      <c r="C14" s="303"/>
      <c r="D14" s="303"/>
      <c r="E14" s="39"/>
      <c r="F14" s="39"/>
      <c r="G14" s="39"/>
      <c r="H14" s="39"/>
      <c r="I14" s="303"/>
      <c r="J14" s="39"/>
      <c r="K14" s="39"/>
      <c r="L14" s="39"/>
      <c r="M14" s="39"/>
      <c r="N14" s="303"/>
      <c r="O14" s="303"/>
      <c r="P14" s="303"/>
      <c r="Q14" s="303"/>
      <c r="R14" s="303"/>
      <c r="S14" s="303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</row>
    <row r="15">
      <c r="A15" s="31"/>
      <c r="B15" s="304"/>
      <c r="C15" s="5"/>
      <c r="D15" s="5"/>
      <c r="E15" s="4"/>
      <c r="F15" s="4"/>
      <c r="G15" s="4"/>
      <c r="H15" s="4"/>
      <c r="I15" s="5"/>
      <c r="J15" s="4"/>
      <c r="K15" s="4"/>
      <c r="L15" s="4"/>
      <c r="M15" s="4"/>
      <c r="N15" s="5"/>
      <c r="O15" s="5"/>
      <c r="P15" s="5"/>
      <c r="Q15" s="5"/>
      <c r="R15" s="5"/>
      <c r="S15" s="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</row>
    <row r="16">
      <c r="A16" s="31"/>
      <c r="B16" s="304"/>
      <c r="C16" s="5"/>
      <c r="D16" s="5"/>
      <c r="E16" s="4"/>
      <c r="F16" s="4"/>
      <c r="G16" s="4"/>
      <c r="H16" s="4"/>
      <c r="I16" s="5"/>
      <c r="J16" s="4"/>
      <c r="K16" s="4"/>
      <c r="L16" s="4"/>
      <c r="M16" s="4"/>
      <c r="N16" s="5"/>
      <c r="O16" s="5"/>
      <c r="P16" s="5"/>
      <c r="Q16" s="5"/>
      <c r="R16" s="5"/>
      <c r="S16" s="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</row>
    <row r="17">
      <c r="A17" s="31"/>
      <c r="B17" s="304"/>
      <c r="C17" s="5"/>
      <c r="D17" s="5"/>
      <c r="E17" s="4"/>
      <c r="F17" s="4"/>
      <c r="G17" s="4"/>
      <c r="H17" s="4"/>
      <c r="I17" s="5"/>
      <c r="J17" s="4"/>
      <c r="K17" s="4"/>
      <c r="L17" s="4"/>
      <c r="M17" s="4"/>
      <c r="N17" s="5"/>
      <c r="O17" s="5"/>
      <c r="P17" s="5"/>
      <c r="Q17" s="5"/>
      <c r="R17" s="5"/>
      <c r="S17" s="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</row>
    <row r="18">
      <c r="A18" s="31"/>
      <c r="B18" s="304"/>
      <c r="C18" s="5"/>
      <c r="D18" s="5"/>
      <c r="E18" s="4"/>
      <c r="F18" s="4"/>
      <c r="G18" s="4"/>
      <c r="H18" s="4"/>
      <c r="I18" s="5"/>
      <c r="J18" s="4"/>
      <c r="K18" s="4"/>
      <c r="L18" s="4"/>
      <c r="M18" s="4"/>
      <c r="N18" s="5"/>
      <c r="O18" s="5"/>
      <c r="P18" s="5"/>
      <c r="Q18" s="5"/>
      <c r="R18" s="5"/>
      <c r="S18" s="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</row>
    <row r="19">
      <c r="A19" s="31"/>
      <c r="B19" s="304"/>
      <c r="C19" s="5"/>
      <c r="D19" s="5"/>
      <c r="E19" s="4"/>
      <c r="F19" s="4"/>
      <c r="G19" s="4"/>
      <c r="H19" s="4"/>
      <c r="I19" s="5"/>
      <c r="J19" s="4"/>
      <c r="K19" s="4"/>
      <c r="L19" s="4"/>
      <c r="M19" s="4"/>
      <c r="N19" s="5"/>
      <c r="O19" s="5"/>
      <c r="P19" s="5"/>
      <c r="Q19" s="5"/>
      <c r="R19" s="5"/>
      <c r="S19" s="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</row>
    <row r="20">
      <c r="A20" s="31"/>
      <c r="B20" s="304"/>
      <c r="C20" s="5"/>
      <c r="D20" s="5"/>
      <c r="E20" s="4"/>
      <c r="F20" s="4"/>
      <c r="G20" s="4"/>
      <c r="H20" s="4"/>
      <c r="I20" s="5"/>
      <c r="J20" s="4"/>
      <c r="K20" s="4"/>
      <c r="L20" s="4"/>
      <c r="M20" s="4"/>
      <c r="N20" s="5"/>
      <c r="O20" s="5"/>
      <c r="P20" s="5"/>
      <c r="Q20" s="5"/>
      <c r="R20" s="5"/>
      <c r="S20" s="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>
      <c r="A21" s="31"/>
      <c r="B21" s="304"/>
      <c r="C21" s="5"/>
      <c r="D21" s="5"/>
      <c r="E21" s="4"/>
      <c r="F21" s="4"/>
      <c r="G21" s="4"/>
      <c r="H21" s="4"/>
      <c r="I21" s="5"/>
      <c r="J21" s="4"/>
      <c r="K21" s="4"/>
      <c r="L21" s="4"/>
      <c r="M21" s="4"/>
      <c r="N21" s="5"/>
      <c r="O21" s="5"/>
      <c r="P21" s="5"/>
      <c r="Q21" s="5"/>
      <c r="R21" s="5"/>
      <c r="S21" s="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</row>
    <row r="22">
      <c r="A22" s="31"/>
      <c r="B22" s="304"/>
      <c r="C22" s="5"/>
      <c r="D22" s="5"/>
      <c r="E22" s="4"/>
      <c r="F22" s="4"/>
      <c r="G22" s="4"/>
      <c r="H22" s="4"/>
      <c r="I22" s="5"/>
      <c r="J22" s="4"/>
      <c r="K22" s="4"/>
      <c r="L22" s="4"/>
      <c r="M22" s="4"/>
      <c r="N22" s="5"/>
      <c r="O22" s="5"/>
      <c r="P22" s="5"/>
      <c r="Q22" s="5"/>
      <c r="R22" s="5"/>
      <c r="S22" s="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>
      <c r="A23" s="31"/>
      <c r="B23" s="304"/>
      <c r="C23" s="5"/>
      <c r="D23" s="5"/>
      <c r="E23" s="4"/>
      <c r="F23" s="4"/>
      <c r="G23" s="4"/>
      <c r="H23" s="4"/>
      <c r="I23" s="5"/>
      <c r="J23" s="4"/>
      <c r="K23" s="4"/>
      <c r="L23" s="4"/>
      <c r="M23" s="4"/>
      <c r="N23" s="5"/>
      <c r="O23" s="5"/>
      <c r="P23" s="5"/>
      <c r="Q23" s="5"/>
      <c r="R23" s="5"/>
      <c r="S23" s="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</row>
    <row r="24">
      <c r="A24" s="31"/>
      <c r="B24" s="304"/>
      <c r="C24" s="5"/>
      <c r="D24" s="5"/>
      <c r="E24" s="4"/>
      <c r="F24" s="4"/>
      <c r="G24" s="4"/>
      <c r="H24" s="4"/>
      <c r="I24" s="5"/>
      <c r="J24" s="4"/>
      <c r="K24" s="4"/>
      <c r="L24" s="4"/>
      <c r="M24" s="4"/>
      <c r="N24" s="5"/>
      <c r="O24" s="5"/>
      <c r="P24" s="5"/>
      <c r="Q24" s="5"/>
      <c r="R24" s="5"/>
      <c r="S24" s="5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>
      <c r="A25" s="31"/>
      <c r="B25" s="304"/>
      <c r="C25" s="5"/>
      <c r="D25" s="5"/>
      <c r="E25" s="4"/>
      <c r="F25" s="4"/>
      <c r="G25" s="4"/>
      <c r="H25" s="4"/>
      <c r="I25" s="5"/>
      <c r="J25" s="4"/>
      <c r="K25" s="4"/>
      <c r="L25" s="4"/>
      <c r="M25" s="4"/>
      <c r="N25" s="5"/>
      <c r="O25" s="5"/>
      <c r="P25" s="5"/>
      <c r="Q25" s="5"/>
      <c r="R25" s="5"/>
      <c r="S25" s="5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</row>
    <row r="26">
      <c r="A26" s="31"/>
      <c r="B26" s="304"/>
      <c r="C26" s="5"/>
      <c r="D26" s="5"/>
      <c r="E26" s="4"/>
      <c r="F26" s="4"/>
      <c r="G26" s="4"/>
      <c r="H26" s="4"/>
      <c r="I26" s="5"/>
      <c r="J26" s="4"/>
      <c r="K26" s="4"/>
      <c r="L26" s="4"/>
      <c r="M26" s="4"/>
      <c r="N26" s="5"/>
      <c r="O26" s="5"/>
      <c r="P26" s="5"/>
      <c r="Q26" s="5"/>
      <c r="R26" s="5"/>
      <c r="S26" s="5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>
      <c r="A27" s="31"/>
      <c r="B27" s="304"/>
      <c r="C27" s="5"/>
      <c r="D27" s="5"/>
      <c r="E27" s="4"/>
      <c r="F27" s="4"/>
      <c r="G27" s="4"/>
      <c r="H27" s="4"/>
      <c r="I27" s="5"/>
      <c r="J27" s="4"/>
      <c r="K27" s="4"/>
      <c r="L27" s="4"/>
      <c r="M27" s="4"/>
      <c r="N27" s="5"/>
      <c r="O27" s="5"/>
      <c r="P27" s="5"/>
      <c r="Q27" s="5"/>
      <c r="R27" s="5"/>
      <c r="S27" s="5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>
      <c r="A28" s="31"/>
      <c r="B28" s="304"/>
      <c r="C28" s="5"/>
      <c r="D28" s="5"/>
      <c r="E28" s="4"/>
      <c r="F28" s="4"/>
      <c r="G28" s="4"/>
      <c r="H28" s="4"/>
      <c r="I28" s="5"/>
      <c r="J28" s="4"/>
      <c r="K28" s="4"/>
      <c r="L28" s="4"/>
      <c r="M28" s="4"/>
      <c r="N28" s="5"/>
      <c r="O28" s="5"/>
      <c r="P28" s="5"/>
      <c r="Q28" s="5"/>
      <c r="R28" s="5"/>
      <c r="S28" s="5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</row>
    <row r="29">
      <c r="A29" s="31"/>
      <c r="B29" s="304"/>
      <c r="C29" s="5"/>
      <c r="D29" s="5"/>
      <c r="E29" s="4"/>
      <c r="F29" s="4"/>
      <c r="G29" s="4"/>
      <c r="H29" s="4"/>
      <c r="I29" s="5"/>
      <c r="J29" s="4"/>
      <c r="K29" s="4"/>
      <c r="L29" s="4"/>
      <c r="M29" s="4"/>
      <c r="N29" s="5"/>
      <c r="O29" s="5"/>
      <c r="P29" s="5"/>
      <c r="Q29" s="5"/>
      <c r="R29" s="5"/>
      <c r="S29" s="5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</row>
    <row r="30">
      <c r="A30" s="31"/>
      <c r="B30" s="304"/>
      <c r="C30" s="5"/>
      <c r="D30" s="5"/>
      <c r="E30" s="4"/>
      <c r="F30" s="4"/>
      <c r="G30" s="4"/>
      <c r="H30" s="4"/>
      <c r="I30" s="5"/>
      <c r="J30" s="4"/>
      <c r="K30" s="4"/>
      <c r="L30" s="4"/>
      <c r="M30" s="4"/>
      <c r="N30" s="5"/>
      <c r="O30" s="5"/>
      <c r="P30" s="5"/>
      <c r="Q30" s="5"/>
      <c r="R30" s="5"/>
      <c r="S30" s="5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</row>
    <row r="31">
      <c r="A31" s="31"/>
      <c r="B31" s="304"/>
      <c r="C31" s="5"/>
      <c r="D31" s="5"/>
      <c r="E31" s="4"/>
      <c r="F31" s="4"/>
      <c r="G31" s="4"/>
      <c r="H31" s="4"/>
      <c r="I31" s="5"/>
      <c r="J31" s="4"/>
      <c r="K31" s="4"/>
      <c r="L31" s="4"/>
      <c r="M31" s="4"/>
      <c r="N31" s="5"/>
      <c r="O31" s="5"/>
      <c r="P31" s="5"/>
      <c r="Q31" s="5"/>
      <c r="R31" s="5"/>
      <c r="S31" s="5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</row>
    <row r="32">
      <c r="A32" s="31"/>
      <c r="B32" s="304"/>
      <c r="C32" s="5"/>
      <c r="D32" s="5"/>
      <c r="E32" s="4"/>
      <c r="F32" s="4"/>
      <c r="G32" s="4"/>
      <c r="H32" s="4"/>
      <c r="I32" s="5"/>
      <c r="J32" s="4"/>
      <c r="K32" s="4"/>
      <c r="L32" s="4"/>
      <c r="M32" s="4"/>
      <c r="N32" s="5"/>
      <c r="O32" s="5"/>
      <c r="P32" s="5"/>
      <c r="Q32" s="5"/>
      <c r="R32" s="5"/>
      <c r="S32" s="5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</row>
    <row r="33">
      <c r="A33" s="31"/>
      <c r="B33" s="304"/>
      <c r="C33" s="5"/>
      <c r="D33" s="5"/>
      <c r="E33" s="4"/>
      <c r="F33" s="4"/>
      <c r="G33" s="4"/>
      <c r="H33" s="4"/>
      <c r="I33" s="5"/>
      <c r="J33" s="4"/>
      <c r="K33" s="4"/>
      <c r="L33" s="4"/>
      <c r="M33" s="4"/>
      <c r="N33" s="5"/>
      <c r="O33" s="5"/>
      <c r="P33" s="5"/>
      <c r="Q33" s="5"/>
      <c r="R33" s="5"/>
      <c r="S33" s="5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</row>
    <row r="34">
      <c r="A34" s="31"/>
      <c r="B34" s="304"/>
      <c r="C34" s="5"/>
      <c r="D34" s="5"/>
      <c r="E34" s="4"/>
      <c r="F34" s="4"/>
      <c r="G34" s="4"/>
      <c r="H34" s="4"/>
      <c r="I34" s="5"/>
      <c r="J34" s="4"/>
      <c r="K34" s="4"/>
      <c r="L34" s="4"/>
      <c r="M34" s="4"/>
      <c r="N34" s="5"/>
      <c r="O34" s="5"/>
      <c r="P34" s="5"/>
      <c r="Q34" s="5"/>
      <c r="R34" s="5"/>
      <c r="S34" s="5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</row>
    <row r="35">
      <c r="A35" s="31"/>
      <c r="B35" s="304"/>
      <c r="C35" s="5"/>
      <c r="D35" s="5"/>
      <c r="E35" s="4"/>
      <c r="F35" s="4"/>
      <c r="G35" s="4"/>
      <c r="H35" s="4"/>
      <c r="I35" s="5"/>
      <c r="J35" s="4"/>
      <c r="K35" s="4"/>
      <c r="L35" s="4"/>
      <c r="M35" s="4"/>
      <c r="N35" s="5"/>
      <c r="O35" s="5"/>
      <c r="P35" s="5"/>
      <c r="Q35" s="5"/>
      <c r="R35" s="5"/>
      <c r="S35" s="5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</row>
    <row r="36">
      <c r="A36" s="31"/>
      <c r="B36" s="304"/>
      <c r="C36" s="5"/>
      <c r="D36" s="5"/>
      <c r="E36" s="4"/>
      <c r="F36" s="4"/>
      <c r="G36" s="4"/>
      <c r="H36" s="4"/>
      <c r="I36" s="5"/>
      <c r="J36" s="4"/>
      <c r="K36" s="4"/>
      <c r="L36" s="4"/>
      <c r="M36" s="4"/>
      <c r="N36" s="5"/>
      <c r="O36" s="5"/>
      <c r="P36" s="5"/>
      <c r="Q36" s="5"/>
      <c r="R36" s="5"/>
      <c r="S36" s="5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</row>
    <row r="37">
      <c r="A37" s="31"/>
      <c r="B37" s="304"/>
      <c r="C37" s="5"/>
      <c r="D37" s="5"/>
      <c r="E37" s="4"/>
      <c r="F37" s="4"/>
      <c r="G37" s="4"/>
      <c r="H37" s="4"/>
      <c r="I37" s="5"/>
      <c r="J37" s="4"/>
      <c r="K37" s="4"/>
      <c r="L37" s="4"/>
      <c r="M37" s="4"/>
      <c r="N37" s="5"/>
      <c r="O37" s="5"/>
      <c r="P37" s="5"/>
      <c r="Q37" s="5"/>
      <c r="R37" s="5"/>
      <c r="S37" s="5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</row>
    <row r="38">
      <c r="A38" s="31"/>
      <c r="B38" s="304"/>
      <c r="C38" s="5"/>
      <c r="D38" s="5"/>
      <c r="E38" s="4"/>
      <c r="F38" s="4"/>
      <c r="G38" s="4"/>
      <c r="H38" s="4"/>
      <c r="I38" s="5"/>
      <c r="J38" s="4"/>
      <c r="K38" s="4"/>
      <c r="L38" s="4"/>
      <c r="M38" s="4"/>
      <c r="N38" s="5"/>
      <c r="O38" s="5"/>
      <c r="P38" s="5"/>
      <c r="Q38" s="5"/>
      <c r="R38" s="5"/>
      <c r="S38" s="5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</row>
    <row r="39">
      <c r="A39" s="31"/>
      <c r="B39" s="304"/>
      <c r="C39" s="5"/>
      <c r="D39" s="5"/>
      <c r="E39" s="4"/>
      <c r="F39" s="4"/>
      <c r="G39" s="4"/>
      <c r="H39" s="4"/>
      <c r="I39" s="5"/>
      <c r="J39" s="4"/>
      <c r="K39" s="4"/>
      <c r="L39" s="4"/>
      <c r="M39" s="4"/>
      <c r="N39" s="5"/>
      <c r="O39" s="5"/>
      <c r="P39" s="5"/>
      <c r="Q39" s="5"/>
      <c r="R39" s="5"/>
      <c r="S39" s="5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</row>
    <row r="40">
      <c r="A40" s="31"/>
      <c r="B40" s="304"/>
      <c r="C40" s="5"/>
      <c r="D40" s="5"/>
      <c r="E40" s="4"/>
      <c r="F40" s="4"/>
      <c r="G40" s="4"/>
      <c r="H40" s="4"/>
      <c r="I40" s="5"/>
      <c r="J40" s="4"/>
      <c r="K40" s="4"/>
      <c r="L40" s="4"/>
      <c r="M40" s="4"/>
      <c r="N40" s="5"/>
      <c r="O40" s="5"/>
      <c r="P40" s="5"/>
      <c r="Q40" s="5"/>
      <c r="R40" s="5"/>
      <c r="S40" s="5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</row>
    <row r="41">
      <c r="A41" s="31"/>
      <c r="B41" s="304"/>
      <c r="C41" s="5"/>
      <c r="D41" s="5"/>
      <c r="E41" s="4"/>
      <c r="F41" s="4"/>
      <c r="G41" s="4"/>
      <c r="H41" s="4"/>
      <c r="I41" s="5"/>
      <c r="J41" s="4"/>
      <c r="K41" s="4"/>
      <c r="L41" s="4"/>
      <c r="M41" s="4"/>
      <c r="N41" s="5"/>
      <c r="O41" s="5"/>
      <c r="P41" s="5"/>
      <c r="Q41" s="5"/>
      <c r="R41" s="5"/>
      <c r="S41" s="5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</row>
    <row r="42">
      <c r="A42" s="31"/>
      <c r="B42" s="304"/>
      <c r="C42" s="5"/>
      <c r="D42" s="5"/>
      <c r="E42" s="4"/>
      <c r="F42" s="4"/>
      <c r="G42" s="4"/>
      <c r="H42" s="4"/>
      <c r="I42" s="5"/>
      <c r="J42" s="4"/>
      <c r="K42" s="4"/>
      <c r="L42" s="4"/>
      <c r="M42" s="4"/>
      <c r="N42" s="5"/>
      <c r="O42" s="5"/>
      <c r="P42" s="5"/>
      <c r="Q42" s="5"/>
      <c r="R42" s="5"/>
      <c r="S42" s="5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</row>
    <row r="43">
      <c r="A43" s="31"/>
      <c r="B43" s="304"/>
      <c r="C43" s="5"/>
      <c r="D43" s="5"/>
      <c r="E43" s="4"/>
      <c r="F43" s="4"/>
      <c r="G43" s="4"/>
      <c r="H43" s="4"/>
      <c r="I43" s="5"/>
      <c r="J43" s="4"/>
      <c r="K43" s="4"/>
      <c r="L43" s="4"/>
      <c r="M43" s="4"/>
      <c r="N43" s="5"/>
      <c r="O43" s="5"/>
      <c r="P43" s="5"/>
      <c r="Q43" s="5"/>
      <c r="R43" s="5"/>
      <c r="S43" s="5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</row>
    <row r="44">
      <c r="A44" s="31"/>
      <c r="B44" s="304"/>
      <c r="C44" s="5"/>
      <c r="D44" s="5"/>
      <c r="E44" s="4"/>
      <c r="F44" s="4"/>
      <c r="G44" s="4"/>
      <c r="H44" s="4"/>
      <c r="I44" s="5"/>
      <c r="J44" s="4"/>
      <c r="K44" s="4"/>
      <c r="L44" s="4"/>
      <c r="M44" s="4"/>
      <c r="N44" s="5"/>
      <c r="O44" s="5"/>
      <c r="P44" s="5"/>
      <c r="Q44" s="5"/>
      <c r="R44" s="5"/>
      <c r="S44" s="5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</row>
    <row r="45">
      <c r="A45" s="31"/>
      <c r="B45" s="304"/>
      <c r="C45" s="5"/>
      <c r="D45" s="5"/>
      <c r="E45" s="4"/>
      <c r="F45" s="4"/>
      <c r="G45" s="4"/>
      <c r="H45" s="4"/>
      <c r="I45" s="5"/>
      <c r="J45" s="4"/>
      <c r="K45" s="4"/>
      <c r="L45" s="4"/>
      <c r="M45" s="4"/>
      <c r="N45" s="5"/>
      <c r="O45" s="5"/>
      <c r="P45" s="5"/>
      <c r="Q45" s="5"/>
      <c r="R45" s="5"/>
      <c r="S45" s="5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</row>
    <row r="46">
      <c r="A46" s="31"/>
      <c r="B46" s="304"/>
      <c r="C46" s="5"/>
      <c r="D46" s="5"/>
      <c r="E46" s="4"/>
      <c r="F46" s="4"/>
      <c r="G46" s="4"/>
      <c r="H46" s="4"/>
      <c r="I46" s="5"/>
      <c r="J46" s="4"/>
      <c r="K46" s="4"/>
      <c r="L46" s="4"/>
      <c r="M46" s="4"/>
      <c r="N46" s="5"/>
      <c r="O46" s="5"/>
      <c r="P46" s="5"/>
      <c r="Q46" s="5"/>
      <c r="R46" s="5"/>
      <c r="S46" s="5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>
      <c r="A47" s="31"/>
      <c r="B47" s="304"/>
      <c r="C47" s="5"/>
      <c r="D47" s="5"/>
      <c r="E47" s="4"/>
      <c r="F47" s="4"/>
      <c r="G47" s="4"/>
      <c r="H47" s="4"/>
      <c r="I47" s="5"/>
      <c r="J47" s="4"/>
      <c r="K47" s="4"/>
      <c r="L47" s="4"/>
      <c r="M47" s="4"/>
      <c r="N47" s="5"/>
      <c r="O47" s="5"/>
      <c r="P47" s="5"/>
      <c r="Q47" s="5"/>
      <c r="R47" s="5"/>
      <c r="S47" s="5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</row>
    <row r="48">
      <c r="A48" s="31"/>
      <c r="B48" s="304"/>
      <c r="C48" s="5"/>
      <c r="D48" s="5"/>
      <c r="E48" s="4"/>
      <c r="F48" s="4"/>
      <c r="G48" s="4"/>
      <c r="H48" s="4"/>
      <c r="I48" s="5"/>
      <c r="J48" s="4"/>
      <c r="K48" s="4"/>
      <c r="L48" s="4"/>
      <c r="M48" s="4"/>
      <c r="N48" s="5"/>
      <c r="O48" s="5"/>
      <c r="P48" s="5"/>
      <c r="Q48" s="5"/>
      <c r="R48" s="5"/>
      <c r="S48" s="5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</row>
    <row r="49">
      <c r="A49" s="31"/>
      <c r="B49" s="304"/>
      <c r="C49" s="5"/>
      <c r="D49" s="5"/>
      <c r="E49" s="4"/>
      <c r="F49" s="4"/>
      <c r="G49" s="4"/>
      <c r="H49" s="4"/>
      <c r="I49" s="5"/>
      <c r="J49" s="4"/>
      <c r="K49" s="4"/>
      <c r="L49" s="4"/>
      <c r="M49" s="4"/>
      <c r="N49" s="5"/>
      <c r="O49" s="5"/>
      <c r="P49" s="5"/>
      <c r="Q49" s="5"/>
      <c r="R49" s="5"/>
      <c r="S49" s="5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</row>
    <row r="50">
      <c r="A50" s="31"/>
      <c r="B50" s="304"/>
      <c r="C50" s="5"/>
      <c r="D50" s="5"/>
      <c r="E50" s="4"/>
      <c r="F50" s="4"/>
      <c r="G50" s="4"/>
      <c r="H50" s="4"/>
      <c r="I50" s="5"/>
      <c r="J50" s="4"/>
      <c r="K50" s="4"/>
      <c r="L50" s="4"/>
      <c r="M50" s="4"/>
      <c r="N50" s="5"/>
      <c r="O50" s="5"/>
      <c r="P50" s="5"/>
      <c r="Q50" s="5"/>
      <c r="R50" s="5"/>
      <c r="S50" s="5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</row>
    <row r="51">
      <c r="A51" s="31"/>
      <c r="B51" s="304"/>
      <c r="C51" s="5"/>
      <c r="D51" s="5"/>
      <c r="E51" s="4"/>
      <c r="F51" s="4"/>
      <c r="G51" s="4"/>
      <c r="H51" s="4"/>
      <c r="I51" s="5"/>
      <c r="J51" s="4"/>
      <c r="K51" s="4"/>
      <c r="L51" s="4"/>
      <c r="M51" s="4"/>
      <c r="N51" s="5"/>
      <c r="O51" s="5"/>
      <c r="P51" s="5"/>
      <c r="Q51" s="5"/>
      <c r="R51" s="5"/>
      <c r="S51" s="5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</row>
    <row r="52">
      <c r="A52" s="31"/>
      <c r="B52" s="304"/>
      <c r="C52" s="5"/>
      <c r="D52" s="5"/>
      <c r="E52" s="4"/>
      <c r="F52" s="4"/>
      <c r="G52" s="4"/>
      <c r="H52" s="4"/>
      <c r="I52" s="5"/>
      <c r="J52" s="4"/>
      <c r="K52" s="4"/>
      <c r="L52" s="4"/>
      <c r="M52" s="4"/>
      <c r="N52" s="5"/>
      <c r="O52" s="5"/>
      <c r="P52" s="5"/>
      <c r="Q52" s="5"/>
      <c r="R52" s="5"/>
      <c r="S52" s="5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</row>
    <row r="53">
      <c r="A53" s="31"/>
      <c r="B53" s="304"/>
      <c r="C53" s="5"/>
      <c r="D53" s="5"/>
      <c r="E53" s="4"/>
      <c r="F53" s="4"/>
      <c r="G53" s="4"/>
      <c r="H53" s="4"/>
      <c r="I53" s="5"/>
      <c r="J53" s="4"/>
      <c r="K53" s="4"/>
      <c r="L53" s="4"/>
      <c r="M53" s="4"/>
      <c r="N53" s="5"/>
      <c r="O53" s="5"/>
      <c r="P53" s="5"/>
      <c r="Q53" s="5"/>
      <c r="R53" s="5"/>
      <c r="S53" s="5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</row>
    <row r="54">
      <c r="A54" s="31"/>
      <c r="B54" s="304"/>
      <c r="C54" s="5"/>
      <c r="D54" s="5"/>
      <c r="E54" s="4"/>
      <c r="F54" s="4"/>
      <c r="G54" s="4"/>
      <c r="H54" s="4"/>
      <c r="I54" s="5"/>
      <c r="J54" s="4"/>
      <c r="K54" s="4"/>
      <c r="L54" s="4"/>
      <c r="M54" s="4"/>
      <c r="N54" s="5"/>
      <c r="O54" s="5"/>
      <c r="P54" s="5"/>
      <c r="Q54" s="5"/>
      <c r="R54" s="5"/>
      <c r="S54" s="5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</row>
    <row r="55">
      <c r="A55" s="31"/>
      <c r="B55" s="304"/>
      <c r="C55" s="5"/>
      <c r="D55" s="5"/>
      <c r="E55" s="4"/>
      <c r="F55" s="4"/>
      <c r="G55" s="4"/>
      <c r="H55" s="4"/>
      <c r="I55" s="5"/>
      <c r="J55" s="4"/>
      <c r="K55" s="4"/>
      <c r="L55" s="4"/>
      <c r="M55" s="4"/>
      <c r="N55" s="5"/>
      <c r="O55" s="5"/>
      <c r="P55" s="5"/>
      <c r="Q55" s="5"/>
      <c r="R55" s="5"/>
      <c r="S55" s="5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</row>
    <row r="56">
      <c r="A56" s="31"/>
      <c r="B56" s="304"/>
      <c r="C56" s="5"/>
      <c r="D56" s="5"/>
      <c r="E56" s="4"/>
      <c r="F56" s="4"/>
      <c r="G56" s="4"/>
      <c r="H56" s="4"/>
      <c r="I56" s="5"/>
      <c r="J56" s="4"/>
      <c r="K56" s="4"/>
      <c r="L56" s="4"/>
      <c r="M56" s="4"/>
      <c r="N56" s="5"/>
      <c r="O56" s="5"/>
      <c r="P56" s="5"/>
      <c r="Q56" s="5"/>
      <c r="R56" s="5"/>
      <c r="S56" s="5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</row>
    <row r="57">
      <c r="A57" s="31"/>
      <c r="B57" s="304"/>
      <c r="C57" s="5"/>
      <c r="D57" s="5"/>
      <c r="E57" s="4"/>
      <c r="F57" s="4"/>
      <c r="G57" s="4"/>
      <c r="H57" s="4"/>
      <c r="I57" s="5"/>
      <c r="J57" s="4"/>
      <c r="K57" s="4"/>
      <c r="L57" s="4"/>
      <c r="M57" s="4"/>
      <c r="N57" s="5"/>
      <c r="O57" s="5"/>
      <c r="P57" s="5"/>
      <c r="Q57" s="5"/>
      <c r="R57" s="5"/>
      <c r="S57" s="5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</row>
    <row r="58">
      <c r="A58" s="31"/>
      <c r="B58" s="304"/>
      <c r="C58" s="5"/>
      <c r="D58" s="5"/>
      <c r="E58" s="4"/>
      <c r="F58" s="4"/>
      <c r="G58" s="4"/>
      <c r="H58" s="4"/>
      <c r="I58" s="5"/>
      <c r="J58" s="4"/>
      <c r="K58" s="4"/>
      <c r="L58" s="4"/>
      <c r="M58" s="4"/>
      <c r="N58" s="5"/>
      <c r="O58" s="5"/>
      <c r="P58" s="5"/>
      <c r="Q58" s="5"/>
      <c r="R58" s="5"/>
      <c r="S58" s="5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</row>
    <row r="59">
      <c r="A59" s="31"/>
      <c r="B59" s="304"/>
      <c r="C59" s="5"/>
      <c r="D59" s="5"/>
      <c r="E59" s="4"/>
      <c r="F59" s="4"/>
      <c r="G59" s="4"/>
      <c r="H59" s="4"/>
      <c r="I59" s="5"/>
      <c r="J59" s="4"/>
      <c r="K59" s="4"/>
      <c r="L59" s="4"/>
      <c r="M59" s="4"/>
      <c r="N59" s="5"/>
      <c r="O59" s="5"/>
      <c r="P59" s="5"/>
      <c r="Q59" s="5"/>
      <c r="R59" s="5"/>
      <c r="S59" s="5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</row>
    <row r="60">
      <c r="A60" s="31"/>
      <c r="B60" s="304"/>
      <c r="C60" s="5"/>
      <c r="D60" s="5"/>
      <c r="E60" s="4"/>
      <c r="F60" s="4"/>
      <c r="G60" s="4"/>
      <c r="H60" s="4"/>
      <c r="I60" s="5"/>
      <c r="J60" s="4"/>
      <c r="K60" s="4"/>
      <c r="L60" s="4"/>
      <c r="M60" s="4"/>
      <c r="N60" s="5"/>
      <c r="O60" s="5"/>
      <c r="P60" s="5"/>
      <c r="Q60" s="5"/>
      <c r="R60" s="5"/>
      <c r="S60" s="5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</row>
    <row r="61">
      <c r="A61" s="31"/>
      <c r="B61" s="304"/>
      <c r="C61" s="5"/>
      <c r="D61" s="5"/>
      <c r="E61" s="4"/>
      <c r="F61" s="4"/>
      <c r="G61" s="4"/>
      <c r="H61" s="4"/>
      <c r="I61" s="5"/>
      <c r="J61" s="4"/>
      <c r="K61" s="4"/>
      <c r="L61" s="4"/>
      <c r="M61" s="4"/>
      <c r="N61" s="5"/>
      <c r="O61" s="5"/>
      <c r="P61" s="5"/>
      <c r="Q61" s="5"/>
      <c r="R61" s="5"/>
      <c r="S61" s="5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</row>
    <row r="62">
      <c r="A62" s="31"/>
      <c r="B62" s="304"/>
      <c r="C62" s="5"/>
      <c r="D62" s="5"/>
      <c r="E62" s="4"/>
      <c r="F62" s="4"/>
      <c r="G62" s="4"/>
      <c r="H62" s="4"/>
      <c r="I62" s="5"/>
      <c r="J62" s="4"/>
      <c r="K62" s="4"/>
      <c r="L62" s="4"/>
      <c r="M62" s="4"/>
      <c r="N62" s="5"/>
      <c r="O62" s="5"/>
      <c r="P62" s="5"/>
      <c r="Q62" s="5"/>
      <c r="R62" s="5"/>
      <c r="S62" s="5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</row>
    <row r="63">
      <c r="A63" s="31"/>
      <c r="B63" s="304"/>
      <c r="C63" s="5"/>
      <c r="D63" s="5"/>
      <c r="E63" s="4"/>
      <c r="F63" s="4"/>
      <c r="G63" s="4"/>
      <c r="H63" s="4"/>
      <c r="I63" s="5"/>
      <c r="J63" s="4"/>
      <c r="K63" s="4"/>
      <c r="L63" s="4"/>
      <c r="M63" s="4"/>
      <c r="N63" s="5"/>
      <c r="O63" s="5"/>
      <c r="P63" s="5"/>
      <c r="Q63" s="5"/>
      <c r="R63" s="5"/>
      <c r="S63" s="5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</row>
    <row r="64">
      <c r="A64" s="31"/>
      <c r="B64" s="304"/>
      <c r="C64" s="5"/>
      <c r="D64" s="5"/>
      <c r="E64" s="4"/>
      <c r="F64" s="4"/>
      <c r="G64" s="4"/>
      <c r="H64" s="4"/>
      <c r="I64" s="5"/>
      <c r="J64" s="4"/>
      <c r="K64" s="4"/>
      <c r="L64" s="4"/>
      <c r="M64" s="4"/>
      <c r="N64" s="5"/>
      <c r="O64" s="5"/>
      <c r="P64" s="5"/>
      <c r="Q64" s="5"/>
      <c r="R64" s="5"/>
      <c r="S64" s="5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</row>
    <row r="65">
      <c r="A65" s="31"/>
      <c r="B65" s="304"/>
      <c r="C65" s="5"/>
      <c r="D65" s="5"/>
      <c r="E65" s="4"/>
      <c r="F65" s="4"/>
      <c r="G65" s="4"/>
      <c r="H65" s="4"/>
      <c r="I65" s="5"/>
      <c r="J65" s="4"/>
      <c r="K65" s="4"/>
      <c r="L65" s="4"/>
      <c r="M65" s="4"/>
      <c r="N65" s="5"/>
      <c r="O65" s="5"/>
      <c r="P65" s="5"/>
      <c r="Q65" s="5"/>
      <c r="R65" s="5"/>
      <c r="S65" s="5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</row>
    <row r="66">
      <c r="A66" s="31"/>
      <c r="B66" s="304"/>
      <c r="C66" s="5"/>
      <c r="D66" s="5"/>
      <c r="E66" s="4"/>
      <c r="F66" s="4"/>
      <c r="G66" s="4"/>
      <c r="H66" s="4"/>
      <c r="I66" s="5"/>
      <c r="J66" s="4"/>
      <c r="K66" s="4"/>
      <c r="L66" s="4"/>
      <c r="M66" s="4"/>
      <c r="N66" s="5"/>
      <c r="O66" s="5"/>
      <c r="P66" s="5"/>
      <c r="Q66" s="5"/>
      <c r="R66" s="5"/>
      <c r="S66" s="5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</row>
    <row r="67">
      <c r="A67" s="31"/>
      <c r="B67" s="304"/>
      <c r="C67" s="5"/>
      <c r="D67" s="5"/>
      <c r="E67" s="4"/>
      <c r="F67" s="4"/>
      <c r="G67" s="4"/>
      <c r="H67" s="4"/>
      <c r="I67" s="5"/>
      <c r="J67" s="4"/>
      <c r="K67" s="4"/>
      <c r="L67" s="4"/>
      <c r="M67" s="4"/>
      <c r="N67" s="5"/>
      <c r="O67" s="5"/>
      <c r="P67" s="5"/>
      <c r="Q67" s="5"/>
      <c r="R67" s="5"/>
      <c r="S67" s="5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>
      <c r="A68" s="31"/>
      <c r="B68" s="304"/>
      <c r="C68" s="5"/>
      <c r="D68" s="5"/>
      <c r="E68" s="4"/>
      <c r="F68" s="4"/>
      <c r="G68" s="4"/>
      <c r="H68" s="4"/>
      <c r="I68" s="5"/>
      <c r="J68" s="4"/>
      <c r="K68" s="4"/>
      <c r="L68" s="4"/>
      <c r="M68" s="4"/>
      <c r="N68" s="5"/>
      <c r="O68" s="5"/>
      <c r="P68" s="5"/>
      <c r="Q68" s="5"/>
      <c r="R68" s="5"/>
      <c r="S68" s="5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</row>
    <row r="69">
      <c r="A69" s="31"/>
      <c r="B69" s="304"/>
      <c r="C69" s="5"/>
      <c r="D69" s="5"/>
      <c r="E69" s="4"/>
      <c r="F69" s="4"/>
      <c r="G69" s="4"/>
      <c r="H69" s="4"/>
      <c r="I69" s="5"/>
      <c r="J69" s="4"/>
      <c r="K69" s="4"/>
      <c r="L69" s="4"/>
      <c r="M69" s="4"/>
      <c r="N69" s="5"/>
      <c r="O69" s="5"/>
      <c r="P69" s="5"/>
      <c r="Q69" s="5"/>
      <c r="R69" s="5"/>
      <c r="S69" s="5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>
      <c r="A70" s="31"/>
      <c r="B70" s="304"/>
      <c r="C70" s="5"/>
      <c r="D70" s="5"/>
      <c r="E70" s="4"/>
      <c r="F70" s="4"/>
      <c r="G70" s="4"/>
      <c r="H70" s="4"/>
      <c r="I70" s="5"/>
      <c r="J70" s="4"/>
      <c r="K70" s="4"/>
      <c r="L70" s="4"/>
      <c r="M70" s="4"/>
      <c r="N70" s="5"/>
      <c r="O70" s="5"/>
      <c r="P70" s="5"/>
      <c r="Q70" s="5"/>
      <c r="R70" s="5"/>
      <c r="S70" s="5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</row>
    <row r="71">
      <c r="A71" s="31"/>
      <c r="B71" s="304"/>
      <c r="C71" s="5"/>
      <c r="D71" s="5"/>
      <c r="E71" s="4"/>
      <c r="F71" s="4"/>
      <c r="G71" s="4"/>
      <c r="H71" s="4"/>
      <c r="I71" s="5"/>
      <c r="J71" s="4"/>
      <c r="K71" s="4"/>
      <c r="L71" s="4"/>
      <c r="M71" s="4"/>
      <c r="N71" s="5"/>
      <c r="O71" s="5"/>
      <c r="P71" s="5"/>
      <c r="Q71" s="5"/>
      <c r="R71" s="5"/>
      <c r="S71" s="5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</row>
    <row r="72">
      <c r="A72" s="31"/>
      <c r="B72" s="304"/>
      <c r="C72" s="5"/>
      <c r="D72" s="5"/>
      <c r="E72" s="4"/>
      <c r="F72" s="4"/>
      <c r="G72" s="4"/>
      <c r="H72" s="4"/>
      <c r="I72" s="5"/>
      <c r="J72" s="4"/>
      <c r="K72" s="4"/>
      <c r="L72" s="4"/>
      <c r="M72" s="4"/>
      <c r="N72" s="5"/>
      <c r="O72" s="5"/>
      <c r="P72" s="5"/>
      <c r="Q72" s="5"/>
      <c r="R72" s="5"/>
      <c r="S72" s="5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</row>
    <row r="73">
      <c r="A73" s="31"/>
      <c r="B73" s="304"/>
      <c r="C73" s="5"/>
      <c r="D73" s="5"/>
      <c r="E73" s="4"/>
      <c r="F73" s="4"/>
      <c r="G73" s="4"/>
      <c r="H73" s="4"/>
      <c r="I73" s="5"/>
      <c r="J73" s="4"/>
      <c r="K73" s="4"/>
      <c r="L73" s="4"/>
      <c r="M73" s="4"/>
      <c r="N73" s="5"/>
      <c r="O73" s="5"/>
      <c r="P73" s="5"/>
      <c r="Q73" s="5"/>
      <c r="R73" s="5"/>
      <c r="S73" s="5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</row>
    <row r="74">
      <c r="A74" s="31"/>
      <c r="B74" s="304"/>
      <c r="C74" s="5"/>
      <c r="D74" s="5"/>
      <c r="E74" s="4"/>
      <c r="F74" s="4"/>
      <c r="G74" s="4"/>
      <c r="H74" s="4"/>
      <c r="I74" s="5"/>
      <c r="J74" s="4"/>
      <c r="K74" s="4"/>
      <c r="L74" s="4"/>
      <c r="M74" s="4"/>
      <c r="N74" s="5"/>
      <c r="O74" s="5"/>
      <c r="P74" s="5"/>
      <c r="Q74" s="5"/>
      <c r="R74" s="5"/>
      <c r="S74" s="5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</row>
    <row r="75">
      <c r="A75" s="31"/>
      <c r="B75" s="304"/>
      <c r="C75" s="5"/>
      <c r="D75" s="5"/>
      <c r="E75" s="4"/>
      <c r="F75" s="4"/>
      <c r="G75" s="4"/>
      <c r="H75" s="4"/>
      <c r="I75" s="5"/>
      <c r="J75" s="4"/>
      <c r="K75" s="4"/>
      <c r="L75" s="4"/>
      <c r="M75" s="4"/>
      <c r="N75" s="5"/>
      <c r="O75" s="5"/>
      <c r="P75" s="5"/>
      <c r="Q75" s="5"/>
      <c r="R75" s="5"/>
      <c r="S75" s="5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</row>
    <row r="76">
      <c r="A76" s="31"/>
      <c r="B76" s="304"/>
      <c r="C76" s="5"/>
      <c r="D76" s="5"/>
      <c r="E76" s="4"/>
      <c r="F76" s="4"/>
      <c r="G76" s="4"/>
      <c r="H76" s="4"/>
      <c r="I76" s="5"/>
      <c r="J76" s="4"/>
      <c r="K76" s="4"/>
      <c r="L76" s="4"/>
      <c r="M76" s="4"/>
      <c r="N76" s="5"/>
      <c r="O76" s="5"/>
      <c r="P76" s="5"/>
      <c r="Q76" s="5"/>
      <c r="R76" s="5"/>
      <c r="S76" s="5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  <row r="77">
      <c r="A77" s="31"/>
      <c r="B77" s="304"/>
      <c r="C77" s="5"/>
      <c r="D77" s="5"/>
      <c r="E77" s="4"/>
      <c r="F77" s="4"/>
      <c r="G77" s="4"/>
      <c r="H77" s="4"/>
      <c r="I77" s="5"/>
      <c r="J77" s="4"/>
      <c r="K77" s="4"/>
      <c r="L77" s="4"/>
      <c r="M77" s="4"/>
      <c r="N77" s="5"/>
      <c r="O77" s="5"/>
      <c r="P77" s="5"/>
      <c r="Q77" s="5"/>
      <c r="R77" s="5"/>
      <c r="S77" s="5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</row>
    <row r="78">
      <c r="A78" s="31"/>
      <c r="B78" s="304"/>
      <c r="C78" s="5"/>
      <c r="D78" s="5"/>
      <c r="E78" s="4"/>
      <c r="F78" s="4"/>
      <c r="G78" s="4"/>
      <c r="H78" s="4"/>
      <c r="I78" s="5"/>
      <c r="J78" s="4"/>
      <c r="K78" s="4"/>
      <c r="L78" s="4"/>
      <c r="M78" s="4"/>
      <c r="N78" s="5"/>
      <c r="O78" s="5"/>
      <c r="P78" s="5"/>
      <c r="Q78" s="5"/>
      <c r="R78" s="5"/>
      <c r="S78" s="5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</row>
    <row r="79">
      <c r="A79" s="31"/>
      <c r="B79" s="304"/>
      <c r="C79" s="5"/>
      <c r="D79" s="5"/>
      <c r="E79" s="4"/>
      <c r="F79" s="4"/>
      <c r="G79" s="4"/>
      <c r="H79" s="4"/>
      <c r="I79" s="5"/>
      <c r="J79" s="4"/>
      <c r="K79" s="4"/>
      <c r="L79" s="4"/>
      <c r="M79" s="4"/>
      <c r="N79" s="5"/>
      <c r="O79" s="5"/>
      <c r="P79" s="5"/>
      <c r="Q79" s="5"/>
      <c r="R79" s="5"/>
      <c r="S79" s="5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</row>
    <row r="80">
      <c r="A80" s="31"/>
      <c r="B80" s="304"/>
      <c r="C80" s="5"/>
      <c r="D80" s="5"/>
      <c r="E80" s="4"/>
      <c r="F80" s="4"/>
      <c r="G80" s="4"/>
      <c r="H80" s="4"/>
      <c r="I80" s="5"/>
      <c r="J80" s="4"/>
      <c r="K80" s="4"/>
      <c r="L80" s="4"/>
      <c r="M80" s="4"/>
      <c r="N80" s="5"/>
      <c r="O80" s="5"/>
      <c r="P80" s="5"/>
      <c r="Q80" s="5"/>
      <c r="R80" s="5"/>
      <c r="S80" s="5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</row>
    <row r="81">
      <c r="A81" s="31"/>
      <c r="B81" s="304"/>
      <c r="C81" s="5"/>
      <c r="D81" s="5"/>
      <c r="E81" s="4"/>
      <c r="F81" s="4"/>
      <c r="G81" s="4"/>
      <c r="H81" s="4"/>
      <c r="I81" s="5"/>
      <c r="J81" s="4"/>
      <c r="K81" s="4"/>
      <c r="L81" s="4"/>
      <c r="M81" s="4"/>
      <c r="N81" s="5"/>
      <c r="O81" s="5"/>
      <c r="P81" s="5"/>
      <c r="Q81" s="5"/>
      <c r="R81" s="5"/>
      <c r="S81" s="5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</row>
    <row r="82">
      <c r="A82" s="31"/>
      <c r="B82" s="304"/>
      <c r="C82" s="5"/>
      <c r="D82" s="5"/>
      <c r="E82" s="4"/>
      <c r="F82" s="4"/>
      <c r="G82" s="4"/>
      <c r="H82" s="4"/>
      <c r="I82" s="5"/>
      <c r="J82" s="4"/>
      <c r="K82" s="4"/>
      <c r="L82" s="4"/>
      <c r="M82" s="4"/>
      <c r="N82" s="5"/>
      <c r="O82" s="5"/>
      <c r="P82" s="5"/>
      <c r="Q82" s="5"/>
      <c r="R82" s="5"/>
      <c r="S82" s="5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r="83">
      <c r="A83" s="31"/>
      <c r="B83" s="304"/>
      <c r="C83" s="5"/>
      <c r="D83" s="5"/>
      <c r="E83" s="4"/>
      <c r="F83" s="4"/>
      <c r="G83" s="4"/>
      <c r="H83" s="4"/>
      <c r="I83" s="5"/>
      <c r="J83" s="4"/>
      <c r="K83" s="4"/>
      <c r="L83" s="4"/>
      <c r="M83" s="4"/>
      <c r="N83" s="5"/>
      <c r="O83" s="5"/>
      <c r="P83" s="5"/>
      <c r="Q83" s="5"/>
      <c r="R83" s="5"/>
      <c r="S83" s="5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r="84">
      <c r="A84" s="31"/>
      <c r="B84" s="304"/>
      <c r="C84" s="5"/>
      <c r="D84" s="5"/>
      <c r="E84" s="4"/>
      <c r="F84" s="4"/>
      <c r="G84" s="4"/>
      <c r="H84" s="4"/>
      <c r="I84" s="5"/>
      <c r="J84" s="4"/>
      <c r="K84" s="4"/>
      <c r="L84" s="4"/>
      <c r="M84" s="4"/>
      <c r="N84" s="5"/>
      <c r="O84" s="5"/>
      <c r="P84" s="5"/>
      <c r="Q84" s="5"/>
      <c r="R84" s="5"/>
      <c r="S84" s="5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</row>
    <row r="85">
      <c r="A85" s="31"/>
      <c r="B85" s="304"/>
      <c r="C85" s="5"/>
      <c r="D85" s="5"/>
      <c r="E85" s="4"/>
      <c r="F85" s="4"/>
      <c r="G85" s="4"/>
      <c r="H85" s="4"/>
      <c r="I85" s="5"/>
      <c r="J85" s="4"/>
      <c r="K85" s="4"/>
      <c r="L85" s="4"/>
      <c r="M85" s="4"/>
      <c r="N85" s="5"/>
      <c r="O85" s="5"/>
      <c r="P85" s="5"/>
      <c r="Q85" s="5"/>
      <c r="R85" s="5"/>
      <c r="S85" s="5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</row>
    <row r="86">
      <c r="A86" s="31"/>
      <c r="B86" s="304"/>
      <c r="C86" s="5"/>
      <c r="D86" s="5"/>
      <c r="E86" s="4"/>
      <c r="F86" s="4"/>
      <c r="G86" s="4"/>
      <c r="H86" s="4"/>
      <c r="I86" s="5"/>
      <c r="J86" s="4"/>
      <c r="K86" s="4"/>
      <c r="L86" s="4"/>
      <c r="M86" s="4"/>
      <c r="N86" s="5"/>
      <c r="O86" s="5"/>
      <c r="P86" s="5"/>
      <c r="Q86" s="5"/>
      <c r="R86" s="5"/>
      <c r="S86" s="5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</row>
    <row r="87">
      <c r="A87" s="31"/>
      <c r="B87" s="304"/>
      <c r="C87" s="5"/>
      <c r="D87" s="5"/>
      <c r="E87" s="4"/>
      <c r="F87" s="4"/>
      <c r="G87" s="4"/>
      <c r="H87" s="4"/>
      <c r="I87" s="5"/>
      <c r="J87" s="4"/>
      <c r="K87" s="4"/>
      <c r="L87" s="4"/>
      <c r="M87" s="4"/>
      <c r="N87" s="5"/>
      <c r="O87" s="5"/>
      <c r="P87" s="5"/>
      <c r="Q87" s="5"/>
      <c r="R87" s="5"/>
      <c r="S87" s="5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</row>
    <row r="88">
      <c r="A88" s="31"/>
      <c r="B88" s="304"/>
      <c r="C88" s="5"/>
      <c r="D88" s="5"/>
      <c r="E88" s="4"/>
      <c r="F88" s="4"/>
      <c r="G88" s="4"/>
      <c r="H88" s="4"/>
      <c r="I88" s="5"/>
      <c r="J88" s="4"/>
      <c r="K88" s="4"/>
      <c r="L88" s="4"/>
      <c r="M88" s="4"/>
      <c r="N88" s="5"/>
      <c r="O88" s="5"/>
      <c r="P88" s="5"/>
      <c r="Q88" s="5"/>
      <c r="R88" s="5"/>
      <c r="S88" s="5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</row>
    <row r="89">
      <c r="A89" s="31"/>
      <c r="B89" s="304"/>
      <c r="C89" s="5"/>
      <c r="D89" s="5"/>
      <c r="E89" s="4"/>
      <c r="F89" s="4"/>
      <c r="G89" s="4"/>
      <c r="H89" s="4"/>
      <c r="I89" s="5"/>
      <c r="J89" s="4"/>
      <c r="K89" s="4"/>
      <c r="L89" s="4"/>
      <c r="M89" s="4"/>
      <c r="N89" s="5"/>
      <c r="O89" s="5"/>
      <c r="P89" s="5"/>
      <c r="Q89" s="5"/>
      <c r="R89" s="5"/>
      <c r="S89" s="5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</row>
    <row r="90">
      <c r="A90" s="31"/>
      <c r="B90" s="304"/>
      <c r="C90" s="5"/>
      <c r="D90" s="5"/>
      <c r="E90" s="4"/>
      <c r="F90" s="4"/>
      <c r="G90" s="4"/>
      <c r="H90" s="4"/>
      <c r="I90" s="5"/>
      <c r="J90" s="4"/>
      <c r="K90" s="4"/>
      <c r="L90" s="4"/>
      <c r="M90" s="4"/>
      <c r="N90" s="5"/>
      <c r="O90" s="5"/>
      <c r="P90" s="5"/>
      <c r="Q90" s="5"/>
      <c r="R90" s="5"/>
      <c r="S90" s="5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</row>
    <row r="91">
      <c r="A91" s="31"/>
      <c r="B91" s="304"/>
      <c r="C91" s="5"/>
      <c r="D91" s="5"/>
      <c r="E91" s="4"/>
      <c r="F91" s="4"/>
      <c r="G91" s="4"/>
      <c r="H91" s="4"/>
      <c r="I91" s="5"/>
      <c r="J91" s="4"/>
      <c r="K91" s="4"/>
      <c r="L91" s="4"/>
      <c r="M91" s="4"/>
      <c r="N91" s="5"/>
      <c r="O91" s="5"/>
      <c r="P91" s="5"/>
      <c r="Q91" s="5"/>
      <c r="R91" s="5"/>
      <c r="S91" s="5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</row>
    <row r="92">
      <c r="A92" s="31"/>
      <c r="B92" s="304"/>
      <c r="C92" s="5"/>
      <c r="D92" s="5"/>
      <c r="E92" s="4"/>
      <c r="F92" s="4"/>
      <c r="G92" s="4"/>
      <c r="H92" s="4"/>
      <c r="I92" s="5"/>
      <c r="J92" s="4"/>
      <c r="K92" s="4"/>
      <c r="L92" s="4"/>
      <c r="M92" s="4"/>
      <c r="N92" s="5"/>
      <c r="O92" s="5"/>
      <c r="P92" s="5"/>
      <c r="Q92" s="5"/>
      <c r="R92" s="5"/>
      <c r="S92" s="5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</row>
    <row r="93">
      <c r="A93" s="31"/>
      <c r="B93" s="304"/>
      <c r="C93" s="5"/>
      <c r="D93" s="5"/>
      <c r="E93" s="4"/>
      <c r="F93" s="4"/>
      <c r="G93" s="4"/>
      <c r="H93" s="4"/>
      <c r="I93" s="5"/>
      <c r="J93" s="4"/>
      <c r="K93" s="4"/>
      <c r="L93" s="4"/>
      <c r="M93" s="4"/>
      <c r="N93" s="5"/>
      <c r="O93" s="5"/>
      <c r="P93" s="5"/>
      <c r="Q93" s="5"/>
      <c r="R93" s="5"/>
      <c r="S93" s="5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</row>
    <row r="94">
      <c r="A94" s="31"/>
      <c r="B94" s="304"/>
      <c r="C94" s="5"/>
      <c r="D94" s="5"/>
      <c r="E94" s="4"/>
      <c r="F94" s="4"/>
      <c r="G94" s="4"/>
      <c r="H94" s="4"/>
      <c r="I94" s="5"/>
      <c r="J94" s="4"/>
      <c r="K94" s="4"/>
      <c r="L94" s="4"/>
      <c r="M94" s="4"/>
      <c r="N94" s="5"/>
      <c r="O94" s="5"/>
      <c r="P94" s="5"/>
      <c r="Q94" s="5"/>
      <c r="R94" s="5"/>
      <c r="S94" s="5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</row>
    <row r="95">
      <c r="A95" s="31"/>
      <c r="B95" s="304"/>
      <c r="C95" s="5"/>
      <c r="D95" s="5"/>
      <c r="E95" s="4"/>
      <c r="F95" s="4"/>
      <c r="G95" s="4"/>
      <c r="H95" s="4"/>
      <c r="I95" s="5"/>
      <c r="J95" s="4"/>
      <c r="K95" s="4"/>
      <c r="L95" s="4"/>
      <c r="M95" s="4"/>
      <c r="N95" s="5"/>
      <c r="O95" s="5"/>
      <c r="P95" s="5"/>
      <c r="Q95" s="5"/>
      <c r="R95" s="5"/>
      <c r="S95" s="5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</row>
    <row r="96">
      <c r="A96" s="31"/>
      <c r="B96" s="304"/>
      <c r="C96" s="5"/>
      <c r="D96" s="5"/>
      <c r="E96" s="4"/>
      <c r="F96" s="4"/>
      <c r="G96" s="4"/>
      <c r="H96" s="4"/>
      <c r="I96" s="5"/>
      <c r="J96" s="4"/>
      <c r="K96" s="4"/>
      <c r="L96" s="4"/>
      <c r="M96" s="4"/>
      <c r="N96" s="5"/>
      <c r="O96" s="5"/>
      <c r="P96" s="5"/>
      <c r="Q96" s="5"/>
      <c r="R96" s="5"/>
      <c r="S96" s="5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</row>
    <row r="97">
      <c r="A97" s="31"/>
      <c r="B97" s="304"/>
      <c r="C97" s="5"/>
      <c r="D97" s="5"/>
      <c r="E97" s="4"/>
      <c r="F97" s="4"/>
      <c r="G97" s="4"/>
      <c r="H97" s="4"/>
      <c r="I97" s="5"/>
      <c r="J97" s="4"/>
      <c r="K97" s="4"/>
      <c r="L97" s="4"/>
      <c r="M97" s="4"/>
      <c r="N97" s="5"/>
      <c r="O97" s="5"/>
      <c r="P97" s="5"/>
      <c r="Q97" s="5"/>
      <c r="R97" s="5"/>
      <c r="S97" s="5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</row>
    <row r="98">
      <c r="A98" s="31"/>
      <c r="B98" s="304"/>
      <c r="C98" s="5"/>
      <c r="D98" s="5"/>
      <c r="E98" s="4"/>
      <c r="F98" s="4"/>
      <c r="G98" s="4"/>
      <c r="H98" s="4"/>
      <c r="I98" s="5"/>
      <c r="J98" s="4"/>
      <c r="K98" s="4"/>
      <c r="L98" s="4"/>
      <c r="M98" s="4"/>
      <c r="N98" s="5"/>
      <c r="O98" s="5"/>
      <c r="P98" s="5"/>
      <c r="Q98" s="5"/>
      <c r="R98" s="5"/>
      <c r="S98" s="5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</row>
    <row r="99">
      <c r="A99" s="31"/>
      <c r="B99" s="304"/>
      <c r="C99" s="5"/>
      <c r="D99" s="5"/>
      <c r="E99" s="4"/>
      <c r="F99" s="4"/>
      <c r="G99" s="4"/>
      <c r="H99" s="4"/>
      <c r="I99" s="5"/>
      <c r="J99" s="4"/>
      <c r="K99" s="4"/>
      <c r="L99" s="4"/>
      <c r="M99" s="4"/>
      <c r="N99" s="5"/>
      <c r="O99" s="5"/>
      <c r="P99" s="5"/>
      <c r="Q99" s="5"/>
      <c r="R99" s="5"/>
      <c r="S99" s="5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</row>
    <row r="100">
      <c r="A100" s="31"/>
      <c r="B100" s="304"/>
      <c r="C100" s="5"/>
      <c r="D100" s="5"/>
      <c r="E100" s="4"/>
      <c r="F100" s="4"/>
      <c r="G100" s="4"/>
      <c r="H100" s="4"/>
      <c r="I100" s="5"/>
      <c r="J100" s="4"/>
      <c r="K100" s="4"/>
      <c r="L100" s="4"/>
      <c r="M100" s="4"/>
      <c r="N100" s="5"/>
      <c r="O100" s="5"/>
      <c r="P100" s="5"/>
      <c r="Q100" s="5"/>
      <c r="R100" s="5"/>
      <c r="S100" s="5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</row>
    <row r="101">
      <c r="A101" s="31"/>
      <c r="B101" s="304"/>
      <c r="C101" s="5"/>
      <c r="D101" s="5"/>
      <c r="E101" s="4"/>
      <c r="F101" s="4"/>
      <c r="G101" s="4"/>
      <c r="H101" s="4"/>
      <c r="I101" s="5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</row>
    <row r="102">
      <c r="A102" s="31"/>
      <c r="B102" s="304"/>
      <c r="C102" s="5"/>
      <c r="D102" s="5"/>
      <c r="E102" s="4"/>
      <c r="F102" s="4"/>
      <c r="G102" s="4"/>
      <c r="H102" s="4"/>
      <c r="I102" s="5"/>
      <c r="J102" s="4"/>
      <c r="K102" s="4"/>
      <c r="L102" s="4"/>
      <c r="M102" s="4"/>
      <c r="N102" s="5"/>
      <c r="O102" s="5"/>
      <c r="P102" s="5"/>
      <c r="Q102" s="5"/>
      <c r="R102" s="5"/>
      <c r="S102" s="5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</row>
    <row r="103">
      <c r="A103" s="31"/>
      <c r="B103" s="304"/>
      <c r="C103" s="5"/>
      <c r="D103" s="5"/>
      <c r="E103" s="4"/>
      <c r="F103" s="4"/>
      <c r="G103" s="4"/>
      <c r="H103" s="4"/>
      <c r="I103" s="5"/>
      <c r="J103" s="4"/>
      <c r="K103" s="4"/>
      <c r="L103" s="4"/>
      <c r="M103" s="4"/>
      <c r="N103" s="5"/>
      <c r="O103" s="5"/>
      <c r="P103" s="5"/>
      <c r="Q103" s="5"/>
      <c r="R103" s="5"/>
      <c r="S103" s="5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</row>
    <row r="104">
      <c r="A104" s="31"/>
      <c r="B104" s="304"/>
      <c r="C104" s="5"/>
      <c r="D104" s="5"/>
      <c r="E104" s="4"/>
      <c r="F104" s="4"/>
      <c r="G104" s="4"/>
      <c r="H104" s="4"/>
      <c r="I104" s="5"/>
      <c r="J104" s="4"/>
      <c r="K104" s="4"/>
      <c r="L104" s="4"/>
      <c r="M104" s="4"/>
      <c r="N104" s="5"/>
      <c r="O104" s="5"/>
      <c r="P104" s="5"/>
      <c r="Q104" s="5"/>
      <c r="R104" s="5"/>
      <c r="S104" s="5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</row>
    <row r="105">
      <c r="A105" s="31"/>
      <c r="B105" s="304"/>
      <c r="C105" s="5"/>
      <c r="D105" s="5"/>
      <c r="E105" s="4"/>
      <c r="F105" s="4"/>
      <c r="G105" s="4"/>
      <c r="H105" s="4"/>
      <c r="I105" s="5"/>
      <c r="J105" s="4"/>
      <c r="K105" s="4"/>
      <c r="L105" s="4"/>
      <c r="M105" s="4"/>
      <c r="N105" s="5"/>
      <c r="O105" s="5"/>
      <c r="P105" s="5"/>
      <c r="Q105" s="5"/>
      <c r="R105" s="5"/>
      <c r="S105" s="5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</row>
    <row r="106">
      <c r="A106" s="31"/>
      <c r="B106" s="304"/>
      <c r="C106" s="5"/>
      <c r="D106" s="5"/>
      <c r="E106" s="4"/>
      <c r="F106" s="4"/>
      <c r="G106" s="4"/>
      <c r="H106" s="4"/>
      <c r="I106" s="5"/>
      <c r="J106" s="4"/>
      <c r="K106" s="4"/>
      <c r="L106" s="4"/>
      <c r="M106" s="4"/>
      <c r="N106" s="5"/>
      <c r="O106" s="5"/>
      <c r="P106" s="5"/>
      <c r="Q106" s="5"/>
      <c r="R106" s="5"/>
      <c r="S106" s="5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</row>
    <row r="107">
      <c r="A107" s="31"/>
      <c r="B107" s="304"/>
      <c r="C107" s="5"/>
      <c r="D107" s="5"/>
      <c r="E107" s="4"/>
      <c r="F107" s="4"/>
      <c r="G107" s="4"/>
      <c r="H107" s="4"/>
      <c r="I107" s="5"/>
      <c r="J107" s="4"/>
      <c r="K107" s="4"/>
      <c r="L107" s="4"/>
      <c r="M107" s="4"/>
      <c r="N107" s="5"/>
      <c r="O107" s="5"/>
      <c r="P107" s="5"/>
      <c r="Q107" s="5"/>
      <c r="R107" s="5"/>
      <c r="S107" s="5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</row>
    <row r="108">
      <c r="A108" s="31"/>
      <c r="B108" s="304"/>
      <c r="C108" s="5"/>
      <c r="D108" s="5"/>
      <c r="E108" s="4"/>
      <c r="F108" s="4"/>
      <c r="G108" s="4"/>
      <c r="H108" s="4"/>
      <c r="I108" s="5"/>
      <c r="J108" s="4"/>
      <c r="K108" s="4"/>
      <c r="L108" s="4"/>
      <c r="M108" s="4"/>
      <c r="N108" s="5"/>
      <c r="O108" s="5"/>
      <c r="P108" s="5"/>
      <c r="Q108" s="5"/>
      <c r="R108" s="5"/>
      <c r="S108" s="5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</row>
    <row r="109">
      <c r="A109" s="31"/>
      <c r="B109" s="304"/>
      <c r="C109" s="5"/>
      <c r="D109" s="5"/>
      <c r="E109" s="4"/>
      <c r="F109" s="4"/>
      <c r="G109" s="4"/>
      <c r="H109" s="4"/>
      <c r="I109" s="5"/>
      <c r="J109" s="4"/>
      <c r="K109" s="4"/>
      <c r="L109" s="4"/>
      <c r="M109" s="4"/>
      <c r="N109" s="5"/>
      <c r="O109" s="5"/>
      <c r="P109" s="5"/>
      <c r="Q109" s="5"/>
      <c r="R109" s="5"/>
      <c r="S109" s="5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</row>
    <row r="110">
      <c r="A110" s="31"/>
      <c r="B110" s="304"/>
      <c r="C110" s="5"/>
      <c r="D110" s="5"/>
      <c r="E110" s="4"/>
      <c r="F110" s="4"/>
      <c r="G110" s="4"/>
      <c r="H110" s="4"/>
      <c r="I110" s="5"/>
      <c r="J110" s="4"/>
      <c r="K110" s="4"/>
      <c r="L110" s="4"/>
      <c r="M110" s="4"/>
      <c r="N110" s="5"/>
      <c r="O110" s="5"/>
      <c r="P110" s="5"/>
      <c r="Q110" s="5"/>
      <c r="R110" s="5"/>
      <c r="S110" s="5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</row>
    <row r="111">
      <c r="A111" s="31"/>
      <c r="B111" s="304"/>
      <c r="C111" s="5"/>
      <c r="D111" s="5"/>
      <c r="E111" s="4"/>
      <c r="F111" s="4"/>
      <c r="G111" s="4"/>
      <c r="H111" s="4"/>
      <c r="I111" s="5"/>
      <c r="J111" s="4"/>
      <c r="K111" s="4"/>
      <c r="L111" s="4"/>
      <c r="M111" s="4"/>
      <c r="N111" s="5"/>
      <c r="O111" s="5"/>
      <c r="P111" s="5"/>
      <c r="Q111" s="5"/>
      <c r="R111" s="5"/>
      <c r="S111" s="5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</row>
    <row r="112">
      <c r="A112" s="31"/>
      <c r="B112" s="304"/>
      <c r="C112" s="5"/>
      <c r="D112" s="5"/>
      <c r="E112" s="4"/>
      <c r="F112" s="4"/>
      <c r="G112" s="4"/>
      <c r="H112" s="4"/>
      <c r="I112" s="5"/>
      <c r="J112" s="4"/>
      <c r="K112" s="4"/>
      <c r="L112" s="4"/>
      <c r="M112" s="4"/>
      <c r="N112" s="5"/>
      <c r="O112" s="5"/>
      <c r="P112" s="5"/>
      <c r="Q112" s="5"/>
      <c r="R112" s="5"/>
      <c r="S112" s="5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</row>
    <row r="113">
      <c r="A113" s="31"/>
      <c r="B113" s="304"/>
      <c r="C113" s="5"/>
      <c r="D113" s="5"/>
      <c r="E113" s="4"/>
      <c r="F113" s="4"/>
      <c r="G113" s="4"/>
      <c r="H113" s="4"/>
      <c r="I113" s="5"/>
      <c r="J113" s="4"/>
      <c r="K113" s="4"/>
      <c r="L113" s="4"/>
      <c r="M113" s="4"/>
      <c r="N113" s="5"/>
      <c r="O113" s="5"/>
      <c r="P113" s="5"/>
      <c r="Q113" s="5"/>
      <c r="R113" s="5"/>
      <c r="S113" s="5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</row>
    <row r="114">
      <c r="A114" s="31"/>
      <c r="B114" s="304"/>
      <c r="C114" s="5"/>
      <c r="D114" s="5"/>
      <c r="E114" s="4"/>
      <c r="F114" s="4"/>
      <c r="G114" s="4"/>
      <c r="H114" s="4"/>
      <c r="I114" s="5"/>
      <c r="J114" s="4"/>
      <c r="K114" s="4"/>
      <c r="L114" s="4"/>
      <c r="M114" s="4"/>
      <c r="N114" s="5"/>
      <c r="O114" s="5"/>
      <c r="P114" s="5"/>
      <c r="Q114" s="5"/>
      <c r="R114" s="5"/>
      <c r="S114" s="5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</row>
    <row r="115">
      <c r="A115" s="31"/>
      <c r="B115" s="304"/>
      <c r="C115" s="5"/>
      <c r="D115" s="5"/>
      <c r="E115" s="4"/>
      <c r="F115" s="4"/>
      <c r="G115" s="4"/>
      <c r="H115" s="4"/>
      <c r="I115" s="5"/>
      <c r="J115" s="4"/>
      <c r="K115" s="4"/>
      <c r="L115" s="4"/>
      <c r="M115" s="4"/>
      <c r="N115" s="5"/>
      <c r="O115" s="5"/>
      <c r="P115" s="5"/>
      <c r="Q115" s="5"/>
      <c r="R115" s="5"/>
      <c r="S115" s="5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</row>
    <row r="116">
      <c r="A116" s="31"/>
      <c r="B116" s="304"/>
      <c r="C116" s="5"/>
      <c r="D116" s="5"/>
      <c r="E116" s="4"/>
      <c r="F116" s="4"/>
      <c r="G116" s="4"/>
      <c r="H116" s="4"/>
      <c r="I116" s="5"/>
      <c r="J116" s="4"/>
      <c r="K116" s="4"/>
      <c r="L116" s="4"/>
      <c r="M116" s="4"/>
      <c r="N116" s="5"/>
      <c r="O116" s="5"/>
      <c r="P116" s="5"/>
      <c r="Q116" s="5"/>
      <c r="R116" s="5"/>
      <c r="S116" s="5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</row>
    <row r="117">
      <c r="A117" s="31"/>
      <c r="B117" s="304"/>
      <c r="C117" s="5"/>
      <c r="D117" s="5"/>
      <c r="E117" s="4"/>
      <c r="F117" s="4"/>
      <c r="G117" s="4"/>
      <c r="H117" s="4"/>
      <c r="I117" s="5"/>
      <c r="J117" s="4"/>
      <c r="K117" s="4"/>
      <c r="L117" s="4"/>
      <c r="M117" s="4"/>
      <c r="N117" s="5"/>
      <c r="O117" s="5"/>
      <c r="P117" s="5"/>
      <c r="Q117" s="5"/>
      <c r="R117" s="5"/>
      <c r="S117" s="5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</row>
    <row r="118">
      <c r="A118" s="31"/>
      <c r="B118" s="304"/>
      <c r="C118" s="5"/>
      <c r="D118" s="5"/>
      <c r="E118" s="4"/>
      <c r="F118" s="4"/>
      <c r="G118" s="4"/>
      <c r="H118" s="4"/>
      <c r="I118" s="5"/>
      <c r="J118" s="4"/>
      <c r="K118" s="4"/>
      <c r="L118" s="4"/>
      <c r="M118" s="4"/>
      <c r="N118" s="5"/>
      <c r="O118" s="5"/>
      <c r="P118" s="5"/>
      <c r="Q118" s="5"/>
      <c r="R118" s="5"/>
      <c r="S118" s="5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</row>
    <row r="119">
      <c r="A119" s="31"/>
      <c r="B119" s="304"/>
      <c r="C119" s="5"/>
      <c r="D119" s="5"/>
      <c r="E119" s="4"/>
      <c r="F119" s="4"/>
      <c r="G119" s="4"/>
      <c r="H119" s="4"/>
      <c r="I119" s="5"/>
      <c r="J119" s="4"/>
      <c r="K119" s="4"/>
      <c r="L119" s="4"/>
      <c r="M119" s="4"/>
      <c r="N119" s="5"/>
      <c r="O119" s="5"/>
      <c r="P119" s="5"/>
      <c r="Q119" s="5"/>
      <c r="R119" s="5"/>
      <c r="S119" s="5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</row>
    <row r="120">
      <c r="A120" s="31"/>
      <c r="B120" s="304"/>
      <c r="C120" s="5"/>
      <c r="D120" s="5"/>
      <c r="E120" s="4"/>
      <c r="F120" s="4"/>
      <c r="G120" s="4"/>
      <c r="H120" s="4"/>
      <c r="I120" s="5"/>
      <c r="J120" s="4"/>
      <c r="K120" s="4"/>
      <c r="L120" s="4"/>
      <c r="M120" s="4"/>
      <c r="N120" s="5"/>
      <c r="O120" s="5"/>
      <c r="P120" s="5"/>
      <c r="Q120" s="5"/>
      <c r="R120" s="5"/>
      <c r="S120" s="5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</row>
    <row r="121">
      <c r="A121" s="31"/>
      <c r="B121" s="304"/>
      <c r="C121" s="5"/>
      <c r="D121" s="5"/>
      <c r="E121" s="4"/>
      <c r="F121" s="4"/>
      <c r="G121" s="4"/>
      <c r="H121" s="4"/>
      <c r="I121" s="5"/>
      <c r="J121" s="4"/>
      <c r="K121" s="4"/>
      <c r="L121" s="4"/>
      <c r="M121" s="4"/>
      <c r="N121" s="5"/>
      <c r="O121" s="5"/>
      <c r="P121" s="5"/>
      <c r="Q121" s="5"/>
      <c r="R121" s="5"/>
      <c r="S121" s="5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</row>
    <row r="122">
      <c r="A122" s="31"/>
      <c r="B122" s="304"/>
      <c r="C122" s="5"/>
      <c r="D122" s="5"/>
      <c r="E122" s="4"/>
      <c r="F122" s="4"/>
      <c r="G122" s="4"/>
      <c r="H122" s="4"/>
      <c r="I122" s="5"/>
      <c r="J122" s="4"/>
      <c r="K122" s="4"/>
      <c r="L122" s="4"/>
      <c r="M122" s="4"/>
      <c r="N122" s="5"/>
      <c r="O122" s="5"/>
      <c r="P122" s="5"/>
      <c r="Q122" s="5"/>
      <c r="R122" s="5"/>
      <c r="S122" s="5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</row>
    <row r="123">
      <c r="A123" s="31"/>
      <c r="B123" s="304"/>
      <c r="C123" s="5"/>
      <c r="D123" s="5"/>
      <c r="E123" s="4"/>
      <c r="F123" s="4"/>
      <c r="G123" s="4"/>
      <c r="H123" s="4"/>
      <c r="I123" s="5"/>
      <c r="J123" s="4"/>
      <c r="K123" s="4"/>
      <c r="L123" s="4"/>
      <c r="M123" s="4"/>
      <c r="N123" s="5"/>
      <c r="O123" s="5"/>
      <c r="P123" s="5"/>
      <c r="Q123" s="5"/>
      <c r="R123" s="5"/>
      <c r="S123" s="5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</row>
    <row r="124">
      <c r="A124" s="31"/>
      <c r="B124" s="304"/>
      <c r="C124" s="5"/>
      <c r="D124" s="5"/>
      <c r="E124" s="4"/>
      <c r="F124" s="4"/>
      <c r="G124" s="4"/>
      <c r="H124" s="4"/>
      <c r="I124" s="5"/>
      <c r="J124" s="4"/>
      <c r="K124" s="4"/>
      <c r="L124" s="4"/>
      <c r="M124" s="4"/>
      <c r="N124" s="5"/>
      <c r="O124" s="5"/>
      <c r="P124" s="5"/>
      <c r="Q124" s="5"/>
      <c r="R124" s="5"/>
      <c r="S124" s="5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</row>
    <row r="125">
      <c r="A125" s="31"/>
      <c r="B125" s="304"/>
      <c r="C125" s="5"/>
      <c r="D125" s="5"/>
      <c r="E125" s="4"/>
      <c r="F125" s="4"/>
      <c r="G125" s="4"/>
      <c r="H125" s="4"/>
      <c r="I125" s="5"/>
      <c r="J125" s="4"/>
      <c r="K125" s="4"/>
      <c r="L125" s="4"/>
      <c r="M125" s="4"/>
      <c r="N125" s="5"/>
      <c r="O125" s="5"/>
      <c r="P125" s="5"/>
      <c r="Q125" s="5"/>
      <c r="R125" s="5"/>
      <c r="S125" s="5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</row>
    <row r="126">
      <c r="A126" s="31"/>
      <c r="B126" s="304"/>
      <c r="C126" s="5"/>
      <c r="D126" s="5"/>
      <c r="E126" s="4"/>
      <c r="F126" s="4"/>
      <c r="G126" s="4"/>
      <c r="H126" s="4"/>
      <c r="I126" s="5"/>
      <c r="J126" s="4"/>
      <c r="K126" s="4"/>
      <c r="L126" s="4"/>
      <c r="M126" s="4"/>
      <c r="N126" s="5"/>
      <c r="O126" s="5"/>
      <c r="P126" s="5"/>
      <c r="Q126" s="5"/>
      <c r="R126" s="5"/>
      <c r="S126" s="5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</row>
    <row r="127">
      <c r="A127" s="31"/>
      <c r="B127" s="304"/>
      <c r="C127" s="5"/>
      <c r="D127" s="5"/>
      <c r="E127" s="4"/>
      <c r="F127" s="4"/>
      <c r="G127" s="4"/>
      <c r="H127" s="4"/>
      <c r="I127" s="5"/>
      <c r="J127" s="4"/>
      <c r="K127" s="4"/>
      <c r="L127" s="4"/>
      <c r="M127" s="4"/>
      <c r="N127" s="5"/>
      <c r="O127" s="5"/>
      <c r="P127" s="5"/>
      <c r="Q127" s="5"/>
      <c r="R127" s="5"/>
      <c r="S127" s="5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</row>
    <row r="128">
      <c r="A128" s="31"/>
      <c r="B128" s="304"/>
      <c r="C128" s="5"/>
      <c r="D128" s="5"/>
      <c r="E128" s="4"/>
      <c r="F128" s="4"/>
      <c r="G128" s="4"/>
      <c r="H128" s="4"/>
      <c r="I128" s="5"/>
      <c r="J128" s="4"/>
      <c r="K128" s="4"/>
      <c r="L128" s="4"/>
      <c r="M128" s="4"/>
      <c r="N128" s="5"/>
      <c r="O128" s="5"/>
      <c r="P128" s="5"/>
      <c r="Q128" s="5"/>
      <c r="R128" s="5"/>
      <c r="S128" s="5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</row>
    <row r="129">
      <c r="A129" s="31"/>
      <c r="B129" s="304"/>
      <c r="C129" s="5"/>
      <c r="D129" s="5"/>
      <c r="E129" s="4"/>
      <c r="F129" s="4"/>
      <c r="G129" s="4"/>
      <c r="H129" s="4"/>
      <c r="I129" s="5"/>
      <c r="J129" s="4"/>
      <c r="K129" s="4"/>
      <c r="L129" s="4"/>
      <c r="M129" s="4"/>
      <c r="N129" s="5"/>
      <c r="O129" s="5"/>
      <c r="P129" s="5"/>
      <c r="Q129" s="5"/>
      <c r="R129" s="5"/>
      <c r="S129" s="5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</row>
    <row r="130">
      <c r="A130" s="31"/>
      <c r="B130" s="304"/>
      <c r="C130" s="5"/>
      <c r="D130" s="5"/>
      <c r="E130" s="4"/>
      <c r="F130" s="4"/>
      <c r="G130" s="4"/>
      <c r="H130" s="4"/>
      <c r="I130" s="5"/>
      <c r="J130" s="4"/>
      <c r="K130" s="4"/>
      <c r="L130" s="4"/>
      <c r="M130" s="4"/>
      <c r="N130" s="5"/>
      <c r="O130" s="5"/>
      <c r="P130" s="5"/>
      <c r="Q130" s="5"/>
      <c r="R130" s="5"/>
      <c r="S130" s="5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</row>
    <row r="131">
      <c r="A131" s="31"/>
      <c r="B131" s="304"/>
      <c r="C131" s="5"/>
      <c r="D131" s="5"/>
      <c r="E131" s="4"/>
      <c r="F131" s="4"/>
      <c r="G131" s="4"/>
      <c r="H131" s="4"/>
      <c r="I131" s="5"/>
      <c r="J131" s="4"/>
      <c r="K131" s="4"/>
      <c r="L131" s="4"/>
      <c r="M131" s="4"/>
      <c r="N131" s="5"/>
      <c r="O131" s="5"/>
      <c r="P131" s="5"/>
      <c r="Q131" s="5"/>
      <c r="R131" s="5"/>
      <c r="S131" s="5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</row>
    <row r="132">
      <c r="A132" s="31"/>
      <c r="B132" s="304"/>
      <c r="C132" s="5"/>
      <c r="D132" s="5"/>
      <c r="E132" s="4"/>
      <c r="F132" s="4"/>
      <c r="G132" s="4"/>
      <c r="H132" s="4"/>
      <c r="I132" s="5"/>
      <c r="J132" s="4"/>
      <c r="K132" s="4"/>
      <c r="L132" s="4"/>
      <c r="M132" s="4"/>
      <c r="N132" s="5"/>
      <c r="O132" s="5"/>
      <c r="P132" s="5"/>
      <c r="Q132" s="5"/>
      <c r="R132" s="5"/>
      <c r="S132" s="5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</row>
    <row r="133">
      <c r="A133" s="31"/>
      <c r="B133" s="304"/>
      <c r="C133" s="5"/>
      <c r="D133" s="5"/>
      <c r="E133" s="4"/>
      <c r="F133" s="4"/>
      <c r="G133" s="4"/>
      <c r="H133" s="4"/>
      <c r="I133" s="5"/>
      <c r="J133" s="4"/>
      <c r="K133" s="4"/>
      <c r="L133" s="4"/>
      <c r="M133" s="4"/>
      <c r="N133" s="5"/>
      <c r="O133" s="5"/>
      <c r="P133" s="5"/>
      <c r="Q133" s="5"/>
      <c r="R133" s="5"/>
      <c r="S133" s="5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</row>
    <row r="134">
      <c r="A134" s="31"/>
      <c r="B134" s="304"/>
      <c r="C134" s="5"/>
      <c r="D134" s="5"/>
      <c r="E134" s="4"/>
      <c r="F134" s="4"/>
      <c r="G134" s="4"/>
      <c r="H134" s="4"/>
      <c r="I134" s="5"/>
      <c r="J134" s="4"/>
      <c r="K134" s="4"/>
      <c r="L134" s="4"/>
      <c r="M134" s="4"/>
      <c r="N134" s="5"/>
      <c r="O134" s="5"/>
      <c r="P134" s="5"/>
      <c r="Q134" s="5"/>
      <c r="R134" s="5"/>
      <c r="S134" s="5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</row>
    <row r="135">
      <c r="A135" s="31"/>
      <c r="B135" s="304"/>
      <c r="C135" s="5"/>
      <c r="D135" s="5"/>
      <c r="E135" s="4"/>
      <c r="F135" s="4"/>
      <c r="G135" s="4"/>
      <c r="H135" s="4"/>
      <c r="I135" s="5"/>
      <c r="J135" s="4"/>
      <c r="K135" s="4"/>
      <c r="L135" s="4"/>
      <c r="M135" s="4"/>
      <c r="N135" s="5"/>
      <c r="O135" s="5"/>
      <c r="P135" s="5"/>
      <c r="Q135" s="5"/>
      <c r="R135" s="5"/>
      <c r="S135" s="5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</row>
    <row r="136">
      <c r="A136" s="31"/>
      <c r="B136" s="304"/>
      <c r="C136" s="5"/>
      <c r="D136" s="5"/>
      <c r="E136" s="4"/>
      <c r="F136" s="4"/>
      <c r="G136" s="4"/>
      <c r="H136" s="4"/>
      <c r="I136" s="5"/>
      <c r="J136" s="4"/>
      <c r="K136" s="4"/>
      <c r="L136" s="4"/>
      <c r="M136" s="4"/>
      <c r="N136" s="5"/>
      <c r="O136" s="5"/>
      <c r="P136" s="5"/>
      <c r="Q136" s="5"/>
      <c r="R136" s="5"/>
      <c r="S136" s="5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</row>
    <row r="137">
      <c r="A137" s="31"/>
      <c r="B137" s="304"/>
      <c r="C137" s="5"/>
      <c r="D137" s="5"/>
      <c r="E137" s="4"/>
      <c r="F137" s="4"/>
      <c r="G137" s="4"/>
      <c r="H137" s="4"/>
      <c r="I137" s="5"/>
      <c r="J137" s="4"/>
      <c r="K137" s="4"/>
      <c r="L137" s="4"/>
      <c r="M137" s="4"/>
      <c r="N137" s="5"/>
      <c r="O137" s="5"/>
      <c r="P137" s="5"/>
      <c r="Q137" s="5"/>
      <c r="R137" s="5"/>
      <c r="S137" s="5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</row>
    <row r="138">
      <c r="A138" s="31"/>
      <c r="B138" s="304"/>
      <c r="C138" s="5"/>
      <c r="D138" s="5"/>
      <c r="E138" s="4"/>
      <c r="F138" s="4"/>
      <c r="G138" s="4"/>
      <c r="H138" s="4"/>
      <c r="I138" s="5"/>
      <c r="J138" s="4"/>
      <c r="K138" s="4"/>
      <c r="L138" s="4"/>
      <c r="M138" s="4"/>
      <c r="N138" s="5"/>
      <c r="O138" s="5"/>
      <c r="P138" s="5"/>
      <c r="Q138" s="5"/>
      <c r="R138" s="5"/>
      <c r="S138" s="5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</row>
    <row r="139">
      <c r="A139" s="31"/>
      <c r="B139" s="304"/>
      <c r="C139" s="5"/>
      <c r="D139" s="5"/>
      <c r="E139" s="4"/>
      <c r="F139" s="4"/>
      <c r="G139" s="4"/>
      <c r="H139" s="4"/>
      <c r="I139" s="5"/>
      <c r="J139" s="4"/>
      <c r="K139" s="4"/>
      <c r="L139" s="4"/>
      <c r="M139" s="4"/>
      <c r="N139" s="5"/>
      <c r="O139" s="5"/>
      <c r="P139" s="5"/>
      <c r="Q139" s="5"/>
      <c r="R139" s="5"/>
      <c r="S139" s="5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</row>
    <row r="140">
      <c r="A140" s="31"/>
      <c r="B140" s="304"/>
      <c r="C140" s="5"/>
      <c r="D140" s="5"/>
      <c r="E140" s="4"/>
      <c r="F140" s="4"/>
      <c r="G140" s="4"/>
      <c r="H140" s="4"/>
      <c r="I140" s="5"/>
      <c r="J140" s="4"/>
      <c r="K140" s="4"/>
      <c r="L140" s="4"/>
      <c r="M140" s="4"/>
      <c r="N140" s="5"/>
      <c r="O140" s="5"/>
      <c r="P140" s="5"/>
      <c r="Q140" s="5"/>
      <c r="R140" s="5"/>
      <c r="S140" s="5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</row>
    <row r="141">
      <c r="A141" s="31"/>
      <c r="B141" s="304"/>
      <c r="C141" s="5"/>
      <c r="D141" s="5"/>
      <c r="E141" s="4"/>
      <c r="F141" s="4"/>
      <c r="G141" s="4"/>
      <c r="H141" s="4"/>
      <c r="I141" s="5"/>
      <c r="J141" s="4"/>
      <c r="K141" s="4"/>
      <c r="L141" s="4"/>
      <c r="M141" s="4"/>
      <c r="N141" s="5"/>
      <c r="O141" s="5"/>
      <c r="P141" s="5"/>
      <c r="Q141" s="5"/>
      <c r="R141" s="5"/>
      <c r="S141" s="5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</row>
    <row r="142">
      <c r="A142" s="31"/>
      <c r="B142" s="304"/>
      <c r="C142" s="5"/>
      <c r="D142" s="5"/>
      <c r="E142" s="4"/>
      <c r="F142" s="4"/>
      <c r="G142" s="4"/>
      <c r="H142" s="4"/>
      <c r="I142" s="5"/>
      <c r="J142" s="4"/>
      <c r="K142" s="4"/>
      <c r="L142" s="4"/>
      <c r="M142" s="4"/>
      <c r="N142" s="5"/>
      <c r="O142" s="5"/>
      <c r="P142" s="5"/>
      <c r="Q142" s="5"/>
      <c r="R142" s="5"/>
      <c r="S142" s="5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</row>
    <row r="143">
      <c r="A143" s="31"/>
      <c r="B143" s="304"/>
      <c r="C143" s="5"/>
      <c r="D143" s="5"/>
      <c r="E143" s="4"/>
      <c r="F143" s="4"/>
      <c r="G143" s="4"/>
      <c r="H143" s="4"/>
      <c r="I143" s="5"/>
      <c r="J143" s="4"/>
      <c r="K143" s="4"/>
      <c r="L143" s="4"/>
      <c r="M143" s="4"/>
      <c r="N143" s="5"/>
      <c r="O143" s="5"/>
      <c r="P143" s="5"/>
      <c r="Q143" s="5"/>
      <c r="R143" s="5"/>
      <c r="S143" s="5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</row>
    <row r="144">
      <c r="A144" s="31"/>
      <c r="B144" s="304"/>
      <c r="C144" s="5"/>
      <c r="D144" s="5"/>
      <c r="E144" s="4"/>
      <c r="F144" s="4"/>
      <c r="G144" s="4"/>
      <c r="H144" s="4"/>
      <c r="I144" s="5"/>
      <c r="J144" s="4"/>
      <c r="K144" s="4"/>
      <c r="L144" s="4"/>
      <c r="M144" s="4"/>
      <c r="N144" s="5"/>
      <c r="O144" s="5"/>
      <c r="P144" s="5"/>
      <c r="Q144" s="5"/>
      <c r="R144" s="5"/>
      <c r="S144" s="5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</row>
    <row r="145">
      <c r="A145" s="31"/>
      <c r="B145" s="304"/>
      <c r="C145" s="5"/>
      <c r="D145" s="5"/>
      <c r="E145" s="4"/>
      <c r="F145" s="4"/>
      <c r="G145" s="4"/>
      <c r="H145" s="4"/>
      <c r="I145" s="5"/>
      <c r="J145" s="4"/>
      <c r="K145" s="4"/>
      <c r="L145" s="4"/>
      <c r="M145" s="4"/>
      <c r="N145" s="5"/>
      <c r="O145" s="5"/>
      <c r="P145" s="5"/>
      <c r="Q145" s="5"/>
      <c r="R145" s="5"/>
      <c r="S145" s="5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</row>
    <row r="146">
      <c r="A146" s="31"/>
      <c r="B146" s="304"/>
      <c r="C146" s="5"/>
      <c r="D146" s="5"/>
      <c r="E146" s="4"/>
      <c r="F146" s="4"/>
      <c r="G146" s="4"/>
      <c r="H146" s="4"/>
      <c r="I146" s="5"/>
      <c r="J146" s="4"/>
      <c r="K146" s="4"/>
      <c r="L146" s="4"/>
      <c r="M146" s="4"/>
      <c r="N146" s="5"/>
      <c r="O146" s="5"/>
      <c r="P146" s="5"/>
      <c r="Q146" s="5"/>
      <c r="R146" s="5"/>
      <c r="S146" s="5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</row>
    <row r="147">
      <c r="A147" s="31"/>
      <c r="B147" s="304"/>
      <c r="C147" s="5"/>
      <c r="D147" s="5"/>
      <c r="E147" s="4"/>
      <c r="F147" s="4"/>
      <c r="G147" s="4"/>
      <c r="H147" s="4"/>
      <c r="I147" s="5"/>
      <c r="J147" s="4"/>
      <c r="K147" s="4"/>
      <c r="L147" s="4"/>
      <c r="M147" s="4"/>
      <c r="N147" s="5"/>
      <c r="O147" s="5"/>
      <c r="P147" s="5"/>
      <c r="Q147" s="5"/>
      <c r="R147" s="5"/>
      <c r="S147" s="5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</row>
    <row r="148">
      <c r="A148" s="31"/>
      <c r="B148" s="304"/>
      <c r="C148" s="5"/>
      <c r="D148" s="5"/>
      <c r="E148" s="4"/>
      <c r="F148" s="4"/>
      <c r="G148" s="4"/>
      <c r="H148" s="4"/>
      <c r="I148" s="5"/>
      <c r="J148" s="4"/>
      <c r="K148" s="4"/>
      <c r="L148" s="4"/>
      <c r="M148" s="4"/>
      <c r="N148" s="5"/>
      <c r="O148" s="5"/>
      <c r="P148" s="5"/>
      <c r="Q148" s="5"/>
      <c r="R148" s="5"/>
      <c r="S148" s="5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</row>
    <row r="149">
      <c r="A149" s="31"/>
      <c r="B149" s="304"/>
      <c r="C149" s="5"/>
      <c r="D149" s="5"/>
      <c r="E149" s="4"/>
      <c r="F149" s="4"/>
      <c r="G149" s="4"/>
      <c r="H149" s="4"/>
      <c r="I149" s="5"/>
      <c r="J149" s="4"/>
      <c r="K149" s="4"/>
      <c r="L149" s="4"/>
      <c r="M149" s="4"/>
      <c r="N149" s="5"/>
      <c r="O149" s="5"/>
      <c r="P149" s="5"/>
      <c r="Q149" s="5"/>
      <c r="R149" s="5"/>
      <c r="S149" s="5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</row>
    <row r="150">
      <c r="A150" s="31"/>
      <c r="B150" s="304"/>
      <c r="C150" s="5"/>
      <c r="D150" s="5"/>
      <c r="E150" s="4"/>
      <c r="F150" s="4"/>
      <c r="G150" s="4"/>
      <c r="H150" s="4"/>
      <c r="I150" s="5"/>
      <c r="J150" s="4"/>
      <c r="K150" s="4"/>
      <c r="L150" s="4"/>
      <c r="M150" s="4"/>
      <c r="N150" s="5"/>
      <c r="O150" s="5"/>
      <c r="P150" s="5"/>
      <c r="Q150" s="5"/>
      <c r="R150" s="5"/>
      <c r="S150" s="5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</row>
    <row r="151">
      <c r="A151" s="31"/>
      <c r="B151" s="304"/>
      <c r="C151" s="5"/>
      <c r="D151" s="5"/>
      <c r="E151" s="4"/>
      <c r="F151" s="4"/>
      <c r="G151" s="4"/>
      <c r="H151" s="4"/>
      <c r="I151" s="5"/>
      <c r="J151" s="4"/>
      <c r="K151" s="4"/>
      <c r="L151" s="4"/>
      <c r="M151" s="4"/>
      <c r="N151" s="5"/>
      <c r="O151" s="5"/>
      <c r="P151" s="5"/>
      <c r="Q151" s="5"/>
      <c r="R151" s="5"/>
      <c r="S151" s="5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</row>
    <row r="152">
      <c r="A152" s="31"/>
      <c r="B152" s="304"/>
      <c r="C152" s="5"/>
      <c r="D152" s="5"/>
      <c r="E152" s="4"/>
      <c r="F152" s="4"/>
      <c r="G152" s="4"/>
      <c r="H152" s="4"/>
      <c r="I152" s="5"/>
      <c r="J152" s="4"/>
      <c r="K152" s="4"/>
      <c r="L152" s="4"/>
      <c r="M152" s="4"/>
      <c r="N152" s="5"/>
      <c r="O152" s="5"/>
      <c r="P152" s="5"/>
      <c r="Q152" s="5"/>
      <c r="R152" s="5"/>
      <c r="S152" s="5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</row>
    <row r="153">
      <c r="A153" s="31"/>
      <c r="B153" s="304"/>
      <c r="C153" s="5"/>
      <c r="D153" s="5"/>
      <c r="E153" s="4"/>
      <c r="F153" s="4"/>
      <c r="G153" s="4"/>
      <c r="H153" s="4"/>
      <c r="I153" s="5"/>
      <c r="J153" s="4"/>
      <c r="K153" s="4"/>
      <c r="L153" s="4"/>
      <c r="M153" s="4"/>
      <c r="N153" s="5"/>
      <c r="O153" s="5"/>
      <c r="P153" s="5"/>
      <c r="Q153" s="5"/>
      <c r="R153" s="5"/>
      <c r="S153" s="5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</row>
    <row r="154">
      <c r="A154" s="31"/>
      <c r="B154" s="304"/>
      <c r="C154" s="5"/>
      <c r="D154" s="5"/>
      <c r="E154" s="4"/>
      <c r="F154" s="4"/>
      <c r="G154" s="4"/>
      <c r="H154" s="4"/>
      <c r="I154" s="5"/>
      <c r="J154" s="4"/>
      <c r="K154" s="4"/>
      <c r="L154" s="4"/>
      <c r="M154" s="4"/>
      <c r="N154" s="5"/>
      <c r="O154" s="5"/>
      <c r="P154" s="5"/>
      <c r="Q154" s="5"/>
      <c r="R154" s="5"/>
      <c r="S154" s="5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</row>
    <row r="155">
      <c r="A155" s="31"/>
      <c r="B155" s="304"/>
      <c r="C155" s="5"/>
      <c r="D155" s="5"/>
      <c r="E155" s="4"/>
      <c r="F155" s="4"/>
      <c r="G155" s="4"/>
      <c r="H155" s="4"/>
      <c r="I155" s="5"/>
      <c r="J155" s="4"/>
      <c r="K155" s="4"/>
      <c r="L155" s="4"/>
      <c r="M155" s="4"/>
      <c r="N155" s="5"/>
      <c r="O155" s="5"/>
      <c r="P155" s="5"/>
      <c r="Q155" s="5"/>
      <c r="R155" s="5"/>
      <c r="S155" s="5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</row>
    <row r="156">
      <c r="A156" s="31"/>
      <c r="B156" s="304"/>
      <c r="C156" s="5"/>
      <c r="D156" s="5"/>
      <c r="E156" s="4"/>
      <c r="F156" s="4"/>
      <c r="G156" s="4"/>
      <c r="H156" s="4"/>
      <c r="I156" s="5"/>
      <c r="J156" s="4"/>
      <c r="K156" s="4"/>
      <c r="L156" s="4"/>
      <c r="M156" s="4"/>
      <c r="N156" s="5"/>
      <c r="O156" s="5"/>
      <c r="P156" s="5"/>
      <c r="Q156" s="5"/>
      <c r="R156" s="5"/>
      <c r="S156" s="5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</row>
    <row r="157">
      <c r="A157" s="31"/>
      <c r="B157" s="304"/>
      <c r="C157" s="5"/>
      <c r="D157" s="5"/>
      <c r="E157" s="4"/>
      <c r="F157" s="4"/>
      <c r="G157" s="4"/>
      <c r="H157" s="4"/>
      <c r="I157" s="5"/>
      <c r="J157" s="4"/>
      <c r="K157" s="4"/>
      <c r="L157" s="4"/>
      <c r="M157" s="4"/>
      <c r="N157" s="5"/>
      <c r="O157" s="5"/>
      <c r="P157" s="5"/>
      <c r="Q157" s="5"/>
      <c r="R157" s="5"/>
      <c r="S157" s="5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</row>
    <row r="158">
      <c r="A158" s="31"/>
      <c r="B158" s="304"/>
      <c r="C158" s="5"/>
      <c r="D158" s="5"/>
      <c r="E158" s="4"/>
      <c r="F158" s="4"/>
      <c r="G158" s="4"/>
      <c r="H158" s="4"/>
      <c r="I158" s="5"/>
      <c r="J158" s="4"/>
      <c r="K158" s="4"/>
      <c r="L158" s="4"/>
      <c r="M158" s="4"/>
      <c r="N158" s="5"/>
      <c r="O158" s="5"/>
      <c r="P158" s="5"/>
      <c r="Q158" s="5"/>
      <c r="R158" s="5"/>
      <c r="S158" s="5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</row>
    <row r="159">
      <c r="A159" s="31"/>
      <c r="B159" s="304"/>
      <c r="C159" s="5"/>
      <c r="D159" s="5"/>
      <c r="E159" s="4"/>
      <c r="F159" s="4"/>
      <c r="G159" s="4"/>
      <c r="H159" s="4"/>
      <c r="I159" s="5"/>
      <c r="J159" s="4"/>
      <c r="K159" s="4"/>
      <c r="L159" s="4"/>
      <c r="M159" s="4"/>
      <c r="N159" s="5"/>
      <c r="O159" s="5"/>
      <c r="P159" s="5"/>
      <c r="Q159" s="5"/>
      <c r="R159" s="5"/>
      <c r="S159" s="5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</row>
    <row r="160">
      <c r="A160" s="31"/>
      <c r="B160" s="304"/>
      <c r="C160" s="5"/>
      <c r="D160" s="5"/>
      <c r="E160" s="4"/>
      <c r="F160" s="4"/>
      <c r="G160" s="4"/>
      <c r="H160" s="4"/>
      <c r="I160" s="5"/>
      <c r="J160" s="4"/>
      <c r="K160" s="4"/>
      <c r="L160" s="4"/>
      <c r="M160" s="4"/>
      <c r="N160" s="5"/>
      <c r="O160" s="5"/>
      <c r="P160" s="5"/>
      <c r="Q160" s="5"/>
      <c r="R160" s="5"/>
      <c r="S160" s="5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</row>
    <row r="161">
      <c r="A161" s="31"/>
      <c r="B161" s="304"/>
      <c r="C161" s="5"/>
      <c r="D161" s="5"/>
      <c r="E161" s="4"/>
      <c r="F161" s="4"/>
      <c r="G161" s="4"/>
      <c r="H161" s="4"/>
      <c r="I161" s="5"/>
      <c r="J161" s="4"/>
      <c r="K161" s="4"/>
      <c r="L161" s="4"/>
      <c r="M161" s="4"/>
      <c r="N161" s="5"/>
      <c r="O161" s="5"/>
      <c r="P161" s="5"/>
      <c r="Q161" s="5"/>
      <c r="R161" s="5"/>
      <c r="S161" s="5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</row>
    <row r="162">
      <c r="A162" s="31"/>
      <c r="B162" s="304"/>
      <c r="C162" s="5"/>
      <c r="D162" s="5"/>
      <c r="E162" s="4"/>
      <c r="F162" s="4"/>
      <c r="G162" s="4"/>
      <c r="H162" s="4"/>
      <c r="I162" s="5"/>
      <c r="J162" s="4"/>
      <c r="K162" s="4"/>
      <c r="L162" s="4"/>
      <c r="M162" s="4"/>
      <c r="N162" s="5"/>
      <c r="O162" s="5"/>
      <c r="P162" s="5"/>
      <c r="Q162" s="5"/>
      <c r="R162" s="5"/>
      <c r="S162" s="5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</row>
    <row r="163">
      <c r="A163" s="31"/>
      <c r="B163" s="304"/>
      <c r="C163" s="5"/>
      <c r="D163" s="5"/>
      <c r="E163" s="4"/>
      <c r="F163" s="4"/>
      <c r="G163" s="4"/>
      <c r="H163" s="4"/>
      <c r="I163" s="5"/>
      <c r="J163" s="4"/>
      <c r="K163" s="4"/>
      <c r="L163" s="4"/>
      <c r="M163" s="4"/>
      <c r="N163" s="5"/>
      <c r="O163" s="5"/>
      <c r="P163" s="5"/>
      <c r="Q163" s="5"/>
      <c r="R163" s="5"/>
      <c r="S163" s="5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</row>
    <row r="164">
      <c r="A164" s="31"/>
      <c r="B164" s="304"/>
      <c r="C164" s="5"/>
      <c r="D164" s="5"/>
      <c r="E164" s="4"/>
      <c r="F164" s="4"/>
      <c r="G164" s="4"/>
      <c r="H164" s="4"/>
      <c r="I164" s="5"/>
      <c r="J164" s="4"/>
      <c r="K164" s="4"/>
      <c r="L164" s="4"/>
      <c r="M164" s="4"/>
      <c r="N164" s="5"/>
      <c r="O164" s="5"/>
      <c r="P164" s="5"/>
      <c r="Q164" s="5"/>
      <c r="R164" s="5"/>
      <c r="S164" s="5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</row>
    <row r="165">
      <c r="A165" s="31"/>
      <c r="B165" s="304"/>
      <c r="C165" s="5"/>
      <c r="D165" s="5"/>
      <c r="E165" s="4"/>
      <c r="F165" s="4"/>
      <c r="G165" s="4"/>
      <c r="H165" s="4"/>
      <c r="I165" s="5"/>
      <c r="J165" s="4"/>
      <c r="K165" s="4"/>
      <c r="L165" s="4"/>
      <c r="M165" s="4"/>
      <c r="N165" s="5"/>
      <c r="O165" s="5"/>
      <c r="P165" s="5"/>
      <c r="Q165" s="5"/>
      <c r="R165" s="5"/>
      <c r="S165" s="5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</row>
    <row r="166">
      <c r="A166" s="31"/>
      <c r="B166" s="304"/>
      <c r="C166" s="5"/>
      <c r="D166" s="5"/>
      <c r="E166" s="4"/>
      <c r="F166" s="4"/>
      <c r="G166" s="4"/>
      <c r="H166" s="4"/>
      <c r="I166" s="5"/>
      <c r="J166" s="4"/>
      <c r="K166" s="4"/>
      <c r="L166" s="4"/>
      <c r="M166" s="4"/>
      <c r="N166" s="5"/>
      <c r="O166" s="5"/>
      <c r="P166" s="5"/>
      <c r="Q166" s="5"/>
      <c r="R166" s="5"/>
      <c r="S166" s="5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</row>
    <row r="167">
      <c r="A167" s="31"/>
      <c r="B167" s="304"/>
      <c r="C167" s="5"/>
      <c r="D167" s="5"/>
      <c r="E167" s="4"/>
      <c r="F167" s="4"/>
      <c r="G167" s="4"/>
      <c r="H167" s="4"/>
      <c r="I167" s="5"/>
      <c r="J167" s="4"/>
      <c r="K167" s="4"/>
      <c r="L167" s="4"/>
      <c r="M167" s="4"/>
      <c r="N167" s="5"/>
      <c r="O167" s="5"/>
      <c r="P167" s="5"/>
      <c r="Q167" s="5"/>
      <c r="R167" s="5"/>
      <c r="S167" s="5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</row>
    <row r="168">
      <c r="A168" s="31"/>
      <c r="B168" s="304"/>
      <c r="C168" s="5"/>
      <c r="D168" s="5"/>
      <c r="E168" s="4"/>
      <c r="F168" s="4"/>
      <c r="G168" s="4"/>
      <c r="H168" s="4"/>
      <c r="I168" s="5"/>
      <c r="J168" s="4"/>
      <c r="K168" s="4"/>
      <c r="L168" s="4"/>
      <c r="M168" s="4"/>
      <c r="N168" s="5"/>
      <c r="O168" s="5"/>
      <c r="P168" s="5"/>
      <c r="Q168" s="5"/>
      <c r="R168" s="5"/>
      <c r="S168" s="5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</row>
    <row r="169">
      <c r="A169" s="31"/>
      <c r="B169" s="304"/>
      <c r="C169" s="5"/>
      <c r="D169" s="5"/>
      <c r="E169" s="4"/>
      <c r="F169" s="4"/>
      <c r="G169" s="4"/>
      <c r="H169" s="4"/>
      <c r="I169" s="5"/>
      <c r="J169" s="4"/>
      <c r="K169" s="4"/>
      <c r="L169" s="4"/>
      <c r="M169" s="4"/>
      <c r="N169" s="5"/>
      <c r="O169" s="5"/>
      <c r="P169" s="5"/>
      <c r="Q169" s="5"/>
      <c r="R169" s="5"/>
      <c r="S169" s="5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</row>
    <row r="170">
      <c r="A170" s="31"/>
      <c r="B170" s="304"/>
      <c r="C170" s="5"/>
      <c r="D170" s="5"/>
      <c r="E170" s="4"/>
      <c r="F170" s="4"/>
      <c r="G170" s="4"/>
      <c r="H170" s="4"/>
      <c r="I170" s="5"/>
      <c r="J170" s="4"/>
      <c r="K170" s="4"/>
      <c r="L170" s="4"/>
      <c r="M170" s="4"/>
      <c r="N170" s="5"/>
      <c r="O170" s="5"/>
      <c r="P170" s="5"/>
      <c r="Q170" s="5"/>
      <c r="R170" s="5"/>
      <c r="S170" s="5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</row>
    <row r="171">
      <c r="A171" s="31"/>
      <c r="B171" s="304"/>
      <c r="C171" s="5"/>
      <c r="D171" s="5"/>
      <c r="E171" s="4"/>
      <c r="F171" s="4"/>
      <c r="G171" s="4"/>
      <c r="H171" s="4"/>
      <c r="I171" s="5"/>
      <c r="J171" s="4"/>
      <c r="K171" s="4"/>
      <c r="L171" s="4"/>
      <c r="M171" s="4"/>
      <c r="N171" s="5"/>
      <c r="O171" s="5"/>
      <c r="P171" s="5"/>
      <c r="Q171" s="5"/>
      <c r="R171" s="5"/>
      <c r="S171" s="5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</row>
    <row r="172">
      <c r="A172" s="31"/>
      <c r="B172" s="304"/>
      <c r="C172" s="5"/>
      <c r="D172" s="5"/>
      <c r="E172" s="4"/>
      <c r="F172" s="4"/>
      <c r="G172" s="4"/>
      <c r="H172" s="4"/>
      <c r="I172" s="5"/>
      <c r="J172" s="4"/>
      <c r="K172" s="4"/>
      <c r="L172" s="4"/>
      <c r="M172" s="4"/>
      <c r="N172" s="5"/>
      <c r="O172" s="5"/>
      <c r="P172" s="5"/>
      <c r="Q172" s="5"/>
      <c r="R172" s="5"/>
      <c r="S172" s="5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</row>
    <row r="173">
      <c r="A173" s="31"/>
      <c r="B173" s="304"/>
      <c r="C173" s="5"/>
      <c r="D173" s="5"/>
      <c r="E173" s="4"/>
      <c r="F173" s="4"/>
      <c r="G173" s="4"/>
      <c r="H173" s="4"/>
      <c r="I173" s="5"/>
      <c r="J173" s="4"/>
      <c r="K173" s="4"/>
      <c r="L173" s="4"/>
      <c r="M173" s="4"/>
      <c r="N173" s="5"/>
      <c r="O173" s="5"/>
      <c r="P173" s="5"/>
      <c r="Q173" s="5"/>
      <c r="R173" s="5"/>
      <c r="S173" s="5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</row>
    <row r="174">
      <c r="A174" s="31"/>
      <c r="B174" s="304"/>
      <c r="C174" s="5"/>
      <c r="D174" s="5"/>
      <c r="E174" s="4"/>
      <c r="F174" s="4"/>
      <c r="G174" s="4"/>
      <c r="H174" s="4"/>
      <c r="I174" s="5"/>
      <c r="J174" s="4"/>
      <c r="K174" s="4"/>
      <c r="L174" s="4"/>
      <c r="M174" s="4"/>
      <c r="N174" s="5"/>
      <c r="O174" s="5"/>
      <c r="P174" s="5"/>
      <c r="Q174" s="5"/>
      <c r="R174" s="5"/>
      <c r="S174" s="5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</row>
    <row r="175">
      <c r="A175" s="31"/>
      <c r="B175" s="304"/>
      <c r="C175" s="5"/>
      <c r="D175" s="5"/>
      <c r="E175" s="4"/>
      <c r="F175" s="4"/>
      <c r="G175" s="4"/>
      <c r="H175" s="4"/>
      <c r="I175" s="5"/>
      <c r="J175" s="4"/>
      <c r="K175" s="4"/>
      <c r="L175" s="4"/>
      <c r="M175" s="4"/>
      <c r="N175" s="5"/>
      <c r="O175" s="5"/>
      <c r="P175" s="5"/>
      <c r="Q175" s="5"/>
      <c r="R175" s="5"/>
      <c r="S175" s="5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</row>
    <row r="176">
      <c r="A176" s="31"/>
      <c r="B176" s="304"/>
      <c r="C176" s="5"/>
      <c r="D176" s="5"/>
      <c r="E176" s="4"/>
      <c r="F176" s="4"/>
      <c r="G176" s="4"/>
      <c r="H176" s="4"/>
      <c r="I176" s="5"/>
      <c r="J176" s="4"/>
      <c r="K176" s="4"/>
      <c r="L176" s="4"/>
      <c r="M176" s="4"/>
      <c r="N176" s="5"/>
      <c r="O176" s="5"/>
      <c r="P176" s="5"/>
      <c r="Q176" s="5"/>
      <c r="R176" s="5"/>
      <c r="S176" s="5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</row>
    <row r="177">
      <c r="A177" s="31"/>
      <c r="B177" s="304"/>
      <c r="C177" s="5"/>
      <c r="D177" s="5"/>
      <c r="E177" s="4"/>
      <c r="F177" s="4"/>
      <c r="G177" s="4"/>
      <c r="H177" s="4"/>
      <c r="I177" s="5"/>
      <c r="J177" s="4"/>
      <c r="K177" s="4"/>
      <c r="L177" s="4"/>
      <c r="M177" s="4"/>
      <c r="N177" s="5"/>
      <c r="O177" s="5"/>
      <c r="P177" s="5"/>
      <c r="Q177" s="5"/>
      <c r="R177" s="5"/>
      <c r="S177" s="5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</row>
    <row r="178">
      <c r="A178" s="31"/>
      <c r="B178" s="304"/>
      <c r="C178" s="5"/>
      <c r="D178" s="5"/>
      <c r="E178" s="4"/>
      <c r="F178" s="4"/>
      <c r="G178" s="4"/>
      <c r="H178" s="4"/>
      <c r="I178" s="5"/>
      <c r="J178" s="4"/>
      <c r="K178" s="4"/>
      <c r="L178" s="4"/>
      <c r="M178" s="4"/>
      <c r="N178" s="5"/>
      <c r="O178" s="5"/>
      <c r="P178" s="5"/>
      <c r="Q178" s="5"/>
      <c r="R178" s="5"/>
      <c r="S178" s="5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r="179">
      <c r="A179" s="31"/>
      <c r="B179" s="304"/>
      <c r="C179" s="5"/>
      <c r="D179" s="5"/>
      <c r="E179" s="4"/>
      <c r="F179" s="4"/>
      <c r="G179" s="4"/>
      <c r="H179" s="4"/>
      <c r="I179" s="5"/>
      <c r="J179" s="4"/>
      <c r="K179" s="4"/>
      <c r="L179" s="4"/>
      <c r="M179" s="4"/>
      <c r="N179" s="5"/>
      <c r="O179" s="5"/>
      <c r="P179" s="5"/>
      <c r="Q179" s="5"/>
      <c r="R179" s="5"/>
      <c r="S179" s="5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</row>
    <row r="180">
      <c r="A180" s="31"/>
      <c r="B180" s="304"/>
      <c r="C180" s="5"/>
      <c r="D180" s="5"/>
      <c r="E180" s="4"/>
      <c r="F180" s="4"/>
      <c r="G180" s="4"/>
      <c r="H180" s="4"/>
      <c r="I180" s="5"/>
      <c r="J180" s="4"/>
      <c r="K180" s="4"/>
      <c r="L180" s="4"/>
      <c r="M180" s="4"/>
      <c r="N180" s="5"/>
      <c r="O180" s="5"/>
      <c r="P180" s="5"/>
      <c r="Q180" s="5"/>
      <c r="R180" s="5"/>
      <c r="S180" s="5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</row>
    <row r="181">
      <c r="A181" s="31"/>
      <c r="B181" s="304"/>
      <c r="C181" s="5"/>
      <c r="D181" s="5"/>
      <c r="E181" s="4"/>
      <c r="F181" s="4"/>
      <c r="G181" s="4"/>
      <c r="H181" s="4"/>
      <c r="I181" s="5"/>
      <c r="J181" s="4"/>
      <c r="K181" s="4"/>
      <c r="L181" s="4"/>
      <c r="M181" s="4"/>
      <c r="N181" s="5"/>
      <c r="O181" s="5"/>
      <c r="P181" s="5"/>
      <c r="Q181" s="5"/>
      <c r="R181" s="5"/>
      <c r="S181" s="5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</row>
    <row r="182">
      <c r="A182" s="31"/>
      <c r="B182" s="304"/>
      <c r="C182" s="5"/>
      <c r="D182" s="5"/>
      <c r="E182" s="4"/>
      <c r="F182" s="4"/>
      <c r="G182" s="4"/>
      <c r="H182" s="4"/>
      <c r="I182" s="5"/>
      <c r="J182" s="4"/>
      <c r="K182" s="4"/>
      <c r="L182" s="4"/>
      <c r="M182" s="4"/>
      <c r="N182" s="5"/>
      <c r="O182" s="5"/>
      <c r="P182" s="5"/>
      <c r="Q182" s="5"/>
      <c r="R182" s="5"/>
      <c r="S182" s="5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</row>
    <row r="183">
      <c r="A183" s="31"/>
      <c r="B183" s="304"/>
      <c r="C183" s="5"/>
      <c r="D183" s="5"/>
      <c r="E183" s="4"/>
      <c r="F183" s="4"/>
      <c r="G183" s="4"/>
      <c r="H183" s="4"/>
      <c r="I183" s="5"/>
      <c r="J183" s="4"/>
      <c r="K183" s="4"/>
      <c r="L183" s="4"/>
      <c r="M183" s="4"/>
      <c r="N183" s="5"/>
      <c r="O183" s="5"/>
      <c r="P183" s="5"/>
      <c r="Q183" s="5"/>
      <c r="R183" s="5"/>
      <c r="S183" s="5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</row>
    <row r="184">
      <c r="A184" s="31"/>
      <c r="B184" s="304"/>
      <c r="C184" s="5"/>
      <c r="D184" s="5"/>
      <c r="E184" s="4"/>
      <c r="F184" s="4"/>
      <c r="G184" s="4"/>
      <c r="H184" s="4"/>
      <c r="I184" s="5"/>
      <c r="J184" s="4"/>
      <c r="K184" s="4"/>
      <c r="L184" s="4"/>
      <c r="M184" s="4"/>
      <c r="N184" s="5"/>
      <c r="O184" s="5"/>
      <c r="P184" s="5"/>
      <c r="Q184" s="5"/>
      <c r="R184" s="5"/>
      <c r="S184" s="5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</row>
    <row r="185">
      <c r="A185" s="31"/>
      <c r="B185" s="304"/>
      <c r="C185" s="5"/>
      <c r="D185" s="5"/>
      <c r="E185" s="4"/>
      <c r="F185" s="4"/>
      <c r="G185" s="4"/>
      <c r="H185" s="4"/>
      <c r="I185" s="5"/>
      <c r="J185" s="4"/>
      <c r="K185" s="4"/>
      <c r="L185" s="4"/>
      <c r="M185" s="4"/>
      <c r="N185" s="5"/>
      <c r="O185" s="5"/>
      <c r="P185" s="5"/>
      <c r="Q185" s="5"/>
      <c r="R185" s="5"/>
      <c r="S185" s="5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</row>
    <row r="186">
      <c r="A186" s="31"/>
      <c r="B186" s="304"/>
      <c r="C186" s="5"/>
      <c r="D186" s="5"/>
      <c r="E186" s="4"/>
      <c r="F186" s="4"/>
      <c r="G186" s="4"/>
      <c r="H186" s="4"/>
      <c r="I186" s="5"/>
      <c r="J186" s="4"/>
      <c r="K186" s="4"/>
      <c r="L186" s="4"/>
      <c r="M186" s="4"/>
      <c r="N186" s="5"/>
      <c r="O186" s="5"/>
      <c r="P186" s="5"/>
      <c r="Q186" s="5"/>
      <c r="R186" s="5"/>
      <c r="S186" s="5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</row>
    <row r="187">
      <c r="A187" s="31"/>
      <c r="B187" s="304"/>
      <c r="C187" s="5"/>
      <c r="D187" s="5"/>
      <c r="E187" s="4"/>
      <c r="F187" s="4"/>
      <c r="G187" s="4"/>
      <c r="H187" s="4"/>
      <c r="I187" s="5"/>
      <c r="J187" s="4"/>
      <c r="K187" s="4"/>
      <c r="L187" s="4"/>
      <c r="M187" s="4"/>
      <c r="N187" s="5"/>
      <c r="O187" s="5"/>
      <c r="P187" s="5"/>
      <c r="Q187" s="5"/>
      <c r="R187" s="5"/>
      <c r="S187" s="5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</row>
    <row r="188">
      <c r="A188" s="31"/>
      <c r="B188" s="304"/>
      <c r="C188" s="5"/>
      <c r="D188" s="5"/>
      <c r="E188" s="4"/>
      <c r="F188" s="4"/>
      <c r="G188" s="4"/>
      <c r="H188" s="4"/>
      <c r="I188" s="5"/>
      <c r="J188" s="4"/>
      <c r="K188" s="4"/>
      <c r="L188" s="4"/>
      <c r="M188" s="4"/>
      <c r="N188" s="5"/>
      <c r="O188" s="5"/>
      <c r="P188" s="5"/>
      <c r="Q188" s="5"/>
      <c r="R188" s="5"/>
      <c r="S188" s="5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</row>
    <row r="189">
      <c r="A189" s="31"/>
      <c r="B189" s="304"/>
      <c r="C189" s="5"/>
      <c r="D189" s="5"/>
      <c r="E189" s="4"/>
      <c r="F189" s="4"/>
      <c r="G189" s="4"/>
      <c r="H189" s="4"/>
      <c r="I189" s="5"/>
      <c r="J189" s="4"/>
      <c r="K189" s="4"/>
      <c r="L189" s="4"/>
      <c r="M189" s="4"/>
      <c r="N189" s="5"/>
      <c r="O189" s="5"/>
      <c r="P189" s="5"/>
      <c r="Q189" s="5"/>
      <c r="R189" s="5"/>
      <c r="S189" s="5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</row>
    <row r="190">
      <c r="A190" s="31"/>
      <c r="B190" s="304"/>
      <c r="C190" s="5"/>
      <c r="D190" s="5"/>
      <c r="E190" s="4"/>
      <c r="F190" s="4"/>
      <c r="G190" s="4"/>
      <c r="H190" s="4"/>
      <c r="I190" s="5"/>
      <c r="J190" s="4"/>
      <c r="K190" s="4"/>
      <c r="L190" s="4"/>
      <c r="M190" s="4"/>
      <c r="N190" s="5"/>
      <c r="O190" s="5"/>
      <c r="P190" s="5"/>
      <c r="Q190" s="5"/>
      <c r="R190" s="5"/>
      <c r="S190" s="5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</row>
    <row r="191">
      <c r="A191" s="31"/>
      <c r="B191" s="304"/>
      <c r="C191" s="5"/>
      <c r="D191" s="5"/>
      <c r="E191" s="4"/>
      <c r="F191" s="4"/>
      <c r="G191" s="4"/>
      <c r="H191" s="4"/>
      <c r="I191" s="5"/>
      <c r="J191" s="4"/>
      <c r="K191" s="4"/>
      <c r="L191" s="4"/>
      <c r="M191" s="4"/>
      <c r="N191" s="5"/>
      <c r="O191" s="5"/>
      <c r="P191" s="5"/>
      <c r="Q191" s="5"/>
      <c r="R191" s="5"/>
      <c r="S191" s="5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</row>
    <row r="192">
      <c r="A192" s="31"/>
      <c r="B192" s="304"/>
      <c r="C192" s="5"/>
      <c r="D192" s="5"/>
      <c r="E192" s="4"/>
      <c r="F192" s="4"/>
      <c r="G192" s="4"/>
      <c r="H192" s="4"/>
      <c r="I192" s="5"/>
      <c r="J192" s="4"/>
      <c r="K192" s="4"/>
      <c r="L192" s="4"/>
      <c r="M192" s="4"/>
      <c r="N192" s="5"/>
      <c r="O192" s="5"/>
      <c r="P192" s="5"/>
      <c r="Q192" s="5"/>
      <c r="R192" s="5"/>
      <c r="S192" s="5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</row>
    <row r="193">
      <c r="A193" s="31"/>
      <c r="B193" s="304"/>
      <c r="C193" s="5"/>
      <c r="D193" s="5"/>
      <c r="E193" s="4"/>
      <c r="F193" s="4"/>
      <c r="G193" s="4"/>
      <c r="H193" s="4"/>
      <c r="I193" s="5"/>
      <c r="J193" s="4"/>
      <c r="K193" s="4"/>
      <c r="L193" s="4"/>
      <c r="M193" s="4"/>
      <c r="N193" s="5"/>
      <c r="O193" s="5"/>
      <c r="P193" s="5"/>
      <c r="Q193" s="5"/>
      <c r="R193" s="5"/>
      <c r="S193" s="5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</row>
    <row r="194">
      <c r="A194" s="31"/>
      <c r="B194" s="304"/>
      <c r="C194" s="5"/>
      <c r="D194" s="5"/>
      <c r="E194" s="4"/>
      <c r="F194" s="4"/>
      <c r="G194" s="4"/>
      <c r="H194" s="4"/>
      <c r="I194" s="5"/>
      <c r="J194" s="4"/>
      <c r="K194" s="4"/>
      <c r="L194" s="4"/>
      <c r="M194" s="4"/>
      <c r="N194" s="5"/>
      <c r="O194" s="5"/>
      <c r="P194" s="5"/>
      <c r="Q194" s="5"/>
      <c r="R194" s="5"/>
      <c r="S194" s="5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</row>
    <row r="195">
      <c r="A195" s="31"/>
      <c r="B195" s="304"/>
      <c r="C195" s="5"/>
      <c r="D195" s="5"/>
      <c r="E195" s="4"/>
      <c r="F195" s="4"/>
      <c r="G195" s="4"/>
      <c r="H195" s="4"/>
      <c r="I195" s="5"/>
      <c r="J195" s="4"/>
      <c r="K195" s="4"/>
      <c r="L195" s="4"/>
      <c r="M195" s="4"/>
      <c r="N195" s="5"/>
      <c r="O195" s="5"/>
      <c r="P195" s="5"/>
      <c r="Q195" s="5"/>
      <c r="R195" s="5"/>
      <c r="S195" s="5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</row>
    <row r="196">
      <c r="A196" s="31"/>
      <c r="B196" s="304"/>
      <c r="C196" s="5"/>
      <c r="D196" s="5"/>
      <c r="E196" s="4"/>
      <c r="F196" s="4"/>
      <c r="G196" s="4"/>
      <c r="H196" s="4"/>
      <c r="I196" s="5"/>
      <c r="J196" s="4"/>
      <c r="K196" s="4"/>
      <c r="L196" s="4"/>
      <c r="M196" s="4"/>
      <c r="N196" s="5"/>
      <c r="O196" s="5"/>
      <c r="P196" s="5"/>
      <c r="Q196" s="5"/>
      <c r="R196" s="5"/>
      <c r="S196" s="5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</row>
    <row r="197">
      <c r="A197" s="31"/>
      <c r="B197" s="304"/>
      <c r="C197" s="5"/>
      <c r="D197" s="5"/>
      <c r="E197" s="4"/>
      <c r="F197" s="4"/>
      <c r="G197" s="4"/>
      <c r="H197" s="4"/>
      <c r="I197" s="5"/>
      <c r="J197" s="4"/>
      <c r="K197" s="4"/>
      <c r="L197" s="4"/>
      <c r="M197" s="4"/>
      <c r="N197" s="5"/>
      <c r="O197" s="5"/>
      <c r="P197" s="5"/>
      <c r="Q197" s="5"/>
      <c r="R197" s="5"/>
      <c r="S197" s="5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</row>
    <row r="198">
      <c r="A198" s="31"/>
      <c r="B198" s="304"/>
      <c r="C198" s="5"/>
      <c r="D198" s="5"/>
      <c r="E198" s="4"/>
      <c r="F198" s="4"/>
      <c r="G198" s="4"/>
      <c r="H198" s="4"/>
      <c r="I198" s="5"/>
      <c r="J198" s="4"/>
      <c r="K198" s="4"/>
      <c r="L198" s="4"/>
      <c r="M198" s="4"/>
      <c r="N198" s="5"/>
      <c r="O198" s="5"/>
      <c r="P198" s="5"/>
      <c r="Q198" s="5"/>
      <c r="R198" s="5"/>
      <c r="S198" s="5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</row>
    <row r="199">
      <c r="A199" s="31"/>
      <c r="B199" s="304"/>
      <c r="C199" s="5"/>
      <c r="D199" s="5"/>
      <c r="E199" s="4"/>
      <c r="F199" s="4"/>
      <c r="G199" s="4"/>
      <c r="H199" s="4"/>
      <c r="I199" s="5"/>
      <c r="J199" s="4"/>
      <c r="K199" s="4"/>
      <c r="L199" s="4"/>
      <c r="M199" s="4"/>
      <c r="N199" s="5"/>
      <c r="O199" s="5"/>
      <c r="P199" s="5"/>
      <c r="Q199" s="5"/>
      <c r="R199" s="5"/>
      <c r="S199" s="5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</row>
    <row r="200">
      <c r="A200" s="31"/>
      <c r="B200" s="304"/>
      <c r="C200" s="5"/>
      <c r="D200" s="5"/>
      <c r="E200" s="4"/>
      <c r="F200" s="4"/>
      <c r="G200" s="4"/>
      <c r="H200" s="4"/>
      <c r="I200" s="5"/>
      <c r="J200" s="4"/>
      <c r="K200" s="4"/>
      <c r="L200" s="4"/>
      <c r="M200" s="4"/>
      <c r="N200" s="5"/>
      <c r="O200" s="5"/>
      <c r="P200" s="5"/>
      <c r="Q200" s="5"/>
      <c r="R200" s="5"/>
      <c r="S200" s="5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</row>
    <row r="201">
      <c r="A201" s="31"/>
      <c r="B201" s="304"/>
      <c r="C201" s="5"/>
      <c r="D201" s="5"/>
      <c r="E201" s="4"/>
      <c r="F201" s="4"/>
      <c r="G201" s="4"/>
      <c r="H201" s="4"/>
      <c r="I201" s="5"/>
      <c r="J201" s="4"/>
      <c r="K201" s="4"/>
      <c r="L201" s="4"/>
      <c r="M201" s="4"/>
      <c r="N201" s="5"/>
      <c r="O201" s="5"/>
      <c r="P201" s="5"/>
      <c r="Q201" s="5"/>
      <c r="R201" s="5"/>
      <c r="S201" s="5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</row>
    <row r="202">
      <c r="A202" s="31"/>
      <c r="B202" s="304"/>
      <c r="C202" s="5"/>
      <c r="D202" s="5"/>
      <c r="E202" s="4"/>
      <c r="F202" s="4"/>
      <c r="G202" s="4"/>
      <c r="H202" s="4"/>
      <c r="I202" s="5"/>
      <c r="J202" s="4"/>
      <c r="K202" s="4"/>
      <c r="L202" s="4"/>
      <c r="M202" s="4"/>
      <c r="N202" s="5"/>
      <c r="O202" s="5"/>
      <c r="P202" s="5"/>
      <c r="Q202" s="5"/>
      <c r="R202" s="5"/>
      <c r="S202" s="5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r="203">
      <c r="A203" s="31"/>
      <c r="B203" s="304"/>
      <c r="C203" s="5"/>
      <c r="D203" s="5"/>
      <c r="E203" s="4"/>
      <c r="F203" s="4"/>
      <c r="G203" s="4"/>
      <c r="H203" s="4"/>
      <c r="I203" s="5"/>
      <c r="J203" s="4"/>
      <c r="K203" s="4"/>
      <c r="L203" s="4"/>
      <c r="M203" s="4"/>
      <c r="N203" s="5"/>
      <c r="O203" s="5"/>
      <c r="P203" s="5"/>
      <c r="Q203" s="5"/>
      <c r="R203" s="5"/>
      <c r="S203" s="5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</row>
    <row r="204">
      <c r="A204" s="31"/>
      <c r="B204" s="304"/>
      <c r="C204" s="5"/>
      <c r="D204" s="5"/>
      <c r="E204" s="4"/>
      <c r="F204" s="4"/>
      <c r="G204" s="4"/>
      <c r="H204" s="4"/>
      <c r="I204" s="5"/>
      <c r="J204" s="4"/>
      <c r="K204" s="4"/>
      <c r="L204" s="4"/>
      <c r="M204" s="4"/>
      <c r="N204" s="5"/>
      <c r="O204" s="5"/>
      <c r="P204" s="5"/>
      <c r="Q204" s="5"/>
      <c r="R204" s="5"/>
      <c r="S204" s="5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</row>
    <row r="205">
      <c r="A205" s="31"/>
      <c r="B205" s="304"/>
      <c r="C205" s="5"/>
      <c r="D205" s="5"/>
      <c r="E205" s="4"/>
      <c r="F205" s="4"/>
      <c r="G205" s="4"/>
      <c r="H205" s="4"/>
      <c r="I205" s="5"/>
      <c r="J205" s="4"/>
      <c r="K205" s="4"/>
      <c r="L205" s="4"/>
      <c r="M205" s="4"/>
      <c r="N205" s="5"/>
      <c r="O205" s="5"/>
      <c r="P205" s="5"/>
      <c r="Q205" s="5"/>
      <c r="R205" s="5"/>
      <c r="S205" s="5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</row>
    <row r="206">
      <c r="A206" s="31"/>
      <c r="B206" s="304"/>
      <c r="C206" s="5"/>
      <c r="D206" s="5"/>
      <c r="E206" s="4"/>
      <c r="F206" s="4"/>
      <c r="G206" s="4"/>
      <c r="H206" s="4"/>
      <c r="I206" s="5"/>
      <c r="J206" s="4"/>
      <c r="K206" s="4"/>
      <c r="L206" s="4"/>
      <c r="M206" s="4"/>
      <c r="N206" s="5"/>
      <c r="O206" s="5"/>
      <c r="P206" s="5"/>
      <c r="Q206" s="5"/>
      <c r="R206" s="5"/>
      <c r="S206" s="5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</row>
    <row r="207">
      <c r="A207" s="31"/>
      <c r="B207" s="304"/>
      <c r="C207" s="5"/>
      <c r="D207" s="5"/>
      <c r="E207" s="4"/>
      <c r="F207" s="4"/>
      <c r="G207" s="4"/>
      <c r="H207" s="4"/>
      <c r="I207" s="5"/>
      <c r="J207" s="4"/>
      <c r="K207" s="4"/>
      <c r="L207" s="4"/>
      <c r="M207" s="4"/>
      <c r="N207" s="5"/>
      <c r="O207" s="5"/>
      <c r="P207" s="5"/>
      <c r="Q207" s="5"/>
      <c r="R207" s="5"/>
      <c r="S207" s="5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</row>
    <row r="208">
      <c r="A208" s="31"/>
      <c r="B208" s="304"/>
      <c r="C208" s="5"/>
      <c r="D208" s="5"/>
      <c r="E208" s="4"/>
      <c r="F208" s="4"/>
      <c r="G208" s="4"/>
      <c r="H208" s="4"/>
      <c r="I208" s="5"/>
      <c r="J208" s="4"/>
      <c r="K208" s="4"/>
      <c r="L208" s="4"/>
      <c r="M208" s="4"/>
      <c r="N208" s="5"/>
      <c r="O208" s="5"/>
      <c r="P208" s="5"/>
      <c r="Q208" s="5"/>
      <c r="R208" s="5"/>
      <c r="S208" s="5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</row>
    <row r="209">
      <c r="A209" s="31"/>
      <c r="B209" s="304"/>
      <c r="C209" s="5"/>
      <c r="D209" s="5"/>
      <c r="E209" s="4"/>
      <c r="F209" s="4"/>
      <c r="G209" s="4"/>
      <c r="H209" s="4"/>
      <c r="I209" s="5"/>
      <c r="J209" s="4"/>
      <c r="K209" s="4"/>
      <c r="L209" s="4"/>
      <c r="M209" s="4"/>
      <c r="N209" s="5"/>
      <c r="O209" s="5"/>
      <c r="P209" s="5"/>
      <c r="Q209" s="5"/>
      <c r="R209" s="5"/>
      <c r="S209" s="5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</row>
    <row r="210">
      <c r="A210" s="31"/>
      <c r="B210" s="304"/>
      <c r="C210" s="5"/>
      <c r="D210" s="5"/>
      <c r="E210" s="4"/>
      <c r="F210" s="4"/>
      <c r="G210" s="4"/>
      <c r="H210" s="4"/>
      <c r="I210" s="5"/>
      <c r="J210" s="4"/>
      <c r="K210" s="4"/>
      <c r="L210" s="4"/>
      <c r="M210" s="4"/>
      <c r="N210" s="5"/>
      <c r="O210" s="5"/>
      <c r="P210" s="5"/>
      <c r="Q210" s="5"/>
      <c r="R210" s="5"/>
      <c r="S210" s="5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</row>
    <row r="211">
      <c r="A211" s="31"/>
      <c r="B211" s="304"/>
      <c r="C211" s="5"/>
      <c r="D211" s="5"/>
      <c r="E211" s="4"/>
      <c r="F211" s="4"/>
      <c r="G211" s="4"/>
      <c r="H211" s="4"/>
      <c r="I211" s="5"/>
      <c r="J211" s="4"/>
      <c r="K211" s="4"/>
      <c r="L211" s="4"/>
      <c r="M211" s="4"/>
      <c r="N211" s="5"/>
      <c r="O211" s="5"/>
      <c r="P211" s="5"/>
      <c r="Q211" s="5"/>
      <c r="R211" s="5"/>
      <c r="S211" s="5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</row>
    <row r="212">
      <c r="A212" s="31"/>
      <c r="B212" s="304"/>
      <c r="C212" s="5"/>
      <c r="D212" s="5"/>
      <c r="E212" s="4"/>
      <c r="F212" s="4"/>
      <c r="G212" s="4"/>
      <c r="H212" s="4"/>
      <c r="I212" s="5"/>
      <c r="J212" s="4"/>
      <c r="K212" s="4"/>
      <c r="L212" s="4"/>
      <c r="M212" s="4"/>
      <c r="N212" s="5"/>
      <c r="O212" s="5"/>
      <c r="P212" s="5"/>
      <c r="Q212" s="5"/>
      <c r="R212" s="5"/>
      <c r="S212" s="5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</row>
    <row r="213">
      <c r="A213" s="31"/>
      <c r="B213" s="304"/>
      <c r="C213" s="5"/>
      <c r="D213" s="5"/>
      <c r="E213" s="4"/>
      <c r="F213" s="4"/>
      <c r="G213" s="4"/>
      <c r="H213" s="4"/>
      <c r="I213" s="5"/>
      <c r="J213" s="4"/>
      <c r="K213" s="4"/>
      <c r="L213" s="4"/>
      <c r="M213" s="4"/>
      <c r="N213" s="5"/>
      <c r="O213" s="5"/>
      <c r="P213" s="5"/>
      <c r="Q213" s="5"/>
      <c r="R213" s="5"/>
      <c r="S213" s="5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</row>
    <row r="214">
      <c r="A214" s="31"/>
      <c r="B214" s="304"/>
      <c r="C214" s="5"/>
      <c r="D214" s="5"/>
      <c r="E214" s="4"/>
      <c r="F214" s="4"/>
      <c r="G214" s="4"/>
      <c r="H214" s="4"/>
      <c r="I214" s="5"/>
      <c r="J214" s="4"/>
      <c r="K214" s="4"/>
      <c r="L214" s="4"/>
      <c r="M214" s="4"/>
      <c r="N214" s="5"/>
      <c r="O214" s="5"/>
      <c r="P214" s="5"/>
      <c r="Q214" s="5"/>
      <c r="R214" s="5"/>
      <c r="S214" s="5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</row>
    <row r="215">
      <c r="A215" s="31"/>
      <c r="B215" s="304"/>
      <c r="C215" s="5"/>
      <c r="D215" s="5"/>
      <c r="E215" s="4"/>
      <c r="F215" s="4"/>
      <c r="G215" s="4"/>
      <c r="H215" s="4"/>
      <c r="I215" s="5"/>
      <c r="J215" s="4"/>
      <c r="K215" s="4"/>
      <c r="L215" s="4"/>
      <c r="M215" s="4"/>
      <c r="N215" s="5"/>
      <c r="O215" s="5"/>
      <c r="P215" s="5"/>
      <c r="Q215" s="5"/>
      <c r="R215" s="5"/>
      <c r="S215" s="5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</row>
    <row r="216">
      <c r="A216" s="31"/>
      <c r="B216" s="304"/>
      <c r="C216" s="5"/>
      <c r="D216" s="5"/>
      <c r="E216" s="4"/>
      <c r="F216" s="4"/>
      <c r="G216" s="4"/>
      <c r="H216" s="4"/>
      <c r="I216" s="5"/>
      <c r="J216" s="4"/>
      <c r="K216" s="4"/>
      <c r="L216" s="4"/>
      <c r="M216" s="4"/>
      <c r="N216" s="5"/>
      <c r="O216" s="5"/>
      <c r="P216" s="5"/>
      <c r="Q216" s="5"/>
      <c r="R216" s="5"/>
      <c r="S216" s="5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</row>
    <row r="217">
      <c r="A217" s="31"/>
      <c r="B217" s="304"/>
      <c r="C217" s="5"/>
      <c r="D217" s="5"/>
      <c r="E217" s="4"/>
      <c r="F217" s="4"/>
      <c r="G217" s="4"/>
      <c r="H217" s="4"/>
      <c r="I217" s="5"/>
      <c r="J217" s="4"/>
      <c r="K217" s="4"/>
      <c r="L217" s="4"/>
      <c r="M217" s="4"/>
      <c r="N217" s="5"/>
      <c r="O217" s="5"/>
      <c r="P217" s="5"/>
      <c r="Q217" s="5"/>
      <c r="R217" s="5"/>
      <c r="S217" s="5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</row>
    <row r="218">
      <c r="A218" s="31"/>
      <c r="B218" s="304"/>
      <c r="C218" s="5"/>
      <c r="D218" s="5"/>
      <c r="E218" s="4"/>
      <c r="F218" s="4"/>
      <c r="G218" s="4"/>
      <c r="H218" s="4"/>
      <c r="I218" s="5"/>
      <c r="J218" s="4"/>
      <c r="K218" s="4"/>
      <c r="L218" s="4"/>
      <c r="M218" s="4"/>
      <c r="N218" s="5"/>
      <c r="O218" s="5"/>
      <c r="P218" s="5"/>
      <c r="Q218" s="5"/>
      <c r="R218" s="5"/>
      <c r="S218" s="5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</row>
    <row r="219">
      <c r="A219" s="31"/>
      <c r="B219" s="304"/>
      <c r="C219" s="5"/>
      <c r="D219" s="5"/>
      <c r="E219" s="4"/>
      <c r="F219" s="4"/>
      <c r="G219" s="4"/>
      <c r="H219" s="4"/>
      <c r="I219" s="5"/>
      <c r="J219" s="4"/>
      <c r="K219" s="4"/>
      <c r="L219" s="4"/>
      <c r="M219" s="4"/>
      <c r="N219" s="5"/>
      <c r="O219" s="5"/>
      <c r="P219" s="5"/>
      <c r="Q219" s="5"/>
      <c r="R219" s="5"/>
      <c r="S219" s="5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</row>
    <row r="220">
      <c r="A220" s="31"/>
      <c r="B220" s="304"/>
      <c r="C220" s="5"/>
      <c r="D220" s="5"/>
      <c r="E220" s="4"/>
      <c r="F220" s="4"/>
      <c r="G220" s="4"/>
      <c r="H220" s="4"/>
      <c r="I220" s="5"/>
      <c r="J220" s="4"/>
      <c r="K220" s="4"/>
      <c r="L220" s="4"/>
      <c r="M220" s="4"/>
      <c r="N220" s="5"/>
      <c r="O220" s="5"/>
      <c r="P220" s="5"/>
      <c r="Q220" s="5"/>
      <c r="R220" s="5"/>
      <c r="S220" s="5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</row>
    <row r="221">
      <c r="A221" s="31"/>
      <c r="B221" s="304"/>
      <c r="C221" s="5"/>
      <c r="D221" s="5"/>
      <c r="E221" s="4"/>
      <c r="F221" s="4"/>
      <c r="G221" s="4"/>
      <c r="H221" s="4"/>
      <c r="I221" s="5"/>
      <c r="J221" s="4"/>
      <c r="K221" s="4"/>
      <c r="L221" s="4"/>
      <c r="M221" s="4"/>
      <c r="N221" s="5"/>
      <c r="O221" s="5"/>
      <c r="P221" s="5"/>
      <c r="Q221" s="5"/>
      <c r="R221" s="5"/>
      <c r="S221" s="5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</row>
    <row r="222">
      <c r="A222" s="31"/>
      <c r="B222" s="304"/>
      <c r="C222" s="5"/>
      <c r="D222" s="5"/>
      <c r="E222" s="4"/>
      <c r="F222" s="4"/>
      <c r="G222" s="4"/>
      <c r="H222" s="4"/>
      <c r="I222" s="5"/>
      <c r="J222" s="4"/>
      <c r="K222" s="4"/>
      <c r="L222" s="4"/>
      <c r="M222" s="4"/>
      <c r="N222" s="5"/>
      <c r="O222" s="5"/>
      <c r="P222" s="5"/>
      <c r="Q222" s="5"/>
      <c r="R222" s="5"/>
      <c r="S222" s="5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</row>
    <row r="223">
      <c r="A223" s="31"/>
      <c r="B223" s="304"/>
      <c r="C223" s="5"/>
      <c r="D223" s="5"/>
      <c r="E223" s="4"/>
      <c r="F223" s="4"/>
      <c r="G223" s="4"/>
      <c r="H223" s="4"/>
      <c r="I223" s="5"/>
      <c r="J223" s="4"/>
      <c r="K223" s="4"/>
      <c r="L223" s="4"/>
      <c r="M223" s="4"/>
      <c r="N223" s="5"/>
      <c r="O223" s="5"/>
      <c r="P223" s="5"/>
      <c r="Q223" s="5"/>
      <c r="R223" s="5"/>
      <c r="S223" s="5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</row>
    <row r="224">
      <c r="A224" s="31"/>
      <c r="B224" s="304"/>
      <c r="C224" s="5"/>
      <c r="D224" s="5"/>
      <c r="E224" s="4"/>
      <c r="F224" s="4"/>
      <c r="G224" s="4"/>
      <c r="H224" s="4"/>
      <c r="I224" s="5"/>
      <c r="J224" s="4"/>
      <c r="K224" s="4"/>
      <c r="L224" s="4"/>
      <c r="M224" s="4"/>
      <c r="N224" s="5"/>
      <c r="O224" s="5"/>
      <c r="P224" s="5"/>
      <c r="Q224" s="5"/>
      <c r="R224" s="5"/>
      <c r="S224" s="5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</row>
    <row r="225">
      <c r="A225" s="31"/>
      <c r="B225" s="304"/>
      <c r="C225" s="5"/>
      <c r="D225" s="5"/>
      <c r="E225" s="4"/>
      <c r="F225" s="4"/>
      <c r="G225" s="4"/>
      <c r="H225" s="4"/>
      <c r="I225" s="5"/>
      <c r="J225" s="4"/>
      <c r="K225" s="4"/>
      <c r="L225" s="4"/>
      <c r="M225" s="4"/>
      <c r="N225" s="5"/>
      <c r="O225" s="5"/>
      <c r="P225" s="5"/>
      <c r="Q225" s="5"/>
      <c r="R225" s="5"/>
      <c r="S225" s="5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</row>
    <row r="226">
      <c r="A226" s="31"/>
      <c r="B226" s="304"/>
      <c r="C226" s="5"/>
      <c r="D226" s="5"/>
      <c r="E226" s="4"/>
      <c r="F226" s="4"/>
      <c r="G226" s="4"/>
      <c r="H226" s="4"/>
      <c r="I226" s="5"/>
      <c r="J226" s="4"/>
      <c r="K226" s="4"/>
      <c r="L226" s="4"/>
      <c r="M226" s="4"/>
      <c r="N226" s="5"/>
      <c r="O226" s="5"/>
      <c r="P226" s="5"/>
      <c r="Q226" s="5"/>
      <c r="R226" s="5"/>
      <c r="S226" s="5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</row>
    <row r="227">
      <c r="A227" s="31"/>
      <c r="B227" s="304"/>
      <c r="C227" s="5"/>
      <c r="D227" s="5"/>
      <c r="E227" s="4"/>
      <c r="F227" s="4"/>
      <c r="G227" s="4"/>
      <c r="H227" s="4"/>
      <c r="I227" s="5"/>
      <c r="J227" s="4"/>
      <c r="K227" s="4"/>
      <c r="L227" s="4"/>
      <c r="M227" s="4"/>
      <c r="N227" s="5"/>
      <c r="O227" s="5"/>
      <c r="P227" s="5"/>
      <c r="Q227" s="5"/>
      <c r="R227" s="5"/>
      <c r="S227" s="5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</row>
    <row r="228">
      <c r="A228" s="31"/>
      <c r="B228" s="304"/>
      <c r="C228" s="5"/>
      <c r="D228" s="5"/>
      <c r="E228" s="4"/>
      <c r="F228" s="4"/>
      <c r="G228" s="4"/>
      <c r="H228" s="4"/>
      <c r="I228" s="5"/>
      <c r="J228" s="4"/>
      <c r="K228" s="4"/>
      <c r="L228" s="4"/>
      <c r="M228" s="4"/>
      <c r="N228" s="5"/>
      <c r="O228" s="5"/>
      <c r="P228" s="5"/>
      <c r="Q228" s="5"/>
      <c r="R228" s="5"/>
      <c r="S228" s="5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</row>
    <row r="229">
      <c r="A229" s="31"/>
      <c r="B229" s="304"/>
      <c r="C229" s="5"/>
      <c r="D229" s="5"/>
      <c r="E229" s="4"/>
      <c r="F229" s="4"/>
      <c r="G229" s="4"/>
      <c r="H229" s="4"/>
      <c r="I229" s="5"/>
      <c r="J229" s="4"/>
      <c r="K229" s="4"/>
      <c r="L229" s="4"/>
      <c r="M229" s="4"/>
      <c r="N229" s="5"/>
      <c r="O229" s="5"/>
      <c r="P229" s="5"/>
      <c r="Q229" s="5"/>
      <c r="R229" s="5"/>
      <c r="S229" s="5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</row>
    <row r="230">
      <c r="A230" s="31"/>
      <c r="B230" s="304"/>
      <c r="C230" s="5"/>
      <c r="D230" s="5"/>
      <c r="E230" s="4"/>
      <c r="F230" s="4"/>
      <c r="G230" s="4"/>
      <c r="H230" s="4"/>
      <c r="I230" s="5"/>
      <c r="J230" s="4"/>
      <c r="K230" s="4"/>
      <c r="L230" s="4"/>
      <c r="M230" s="4"/>
      <c r="N230" s="5"/>
      <c r="O230" s="5"/>
      <c r="P230" s="5"/>
      <c r="Q230" s="5"/>
      <c r="R230" s="5"/>
      <c r="S230" s="5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</row>
    <row r="231">
      <c r="A231" s="31"/>
      <c r="B231" s="304"/>
      <c r="C231" s="5"/>
      <c r="D231" s="5"/>
      <c r="E231" s="4"/>
      <c r="F231" s="4"/>
      <c r="G231" s="4"/>
      <c r="H231" s="4"/>
      <c r="I231" s="5"/>
      <c r="J231" s="4"/>
      <c r="K231" s="4"/>
      <c r="L231" s="4"/>
      <c r="M231" s="4"/>
      <c r="N231" s="5"/>
      <c r="O231" s="5"/>
      <c r="P231" s="5"/>
      <c r="Q231" s="5"/>
      <c r="R231" s="5"/>
      <c r="S231" s="5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</row>
    <row r="232">
      <c r="A232" s="31"/>
      <c r="B232" s="304"/>
      <c r="C232" s="5"/>
      <c r="D232" s="5"/>
      <c r="E232" s="4"/>
      <c r="F232" s="4"/>
      <c r="G232" s="4"/>
      <c r="H232" s="4"/>
      <c r="I232" s="5"/>
      <c r="J232" s="4"/>
      <c r="K232" s="4"/>
      <c r="L232" s="4"/>
      <c r="M232" s="4"/>
      <c r="N232" s="5"/>
      <c r="O232" s="5"/>
      <c r="P232" s="5"/>
      <c r="Q232" s="5"/>
      <c r="R232" s="5"/>
      <c r="S232" s="5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</row>
    <row r="233">
      <c r="A233" s="31"/>
      <c r="B233" s="304"/>
      <c r="C233" s="5"/>
      <c r="D233" s="5"/>
      <c r="E233" s="4"/>
      <c r="F233" s="4"/>
      <c r="G233" s="4"/>
      <c r="H233" s="4"/>
      <c r="I233" s="5"/>
      <c r="J233" s="4"/>
      <c r="K233" s="4"/>
      <c r="L233" s="4"/>
      <c r="M233" s="4"/>
      <c r="N233" s="5"/>
      <c r="O233" s="5"/>
      <c r="P233" s="5"/>
      <c r="Q233" s="5"/>
      <c r="R233" s="5"/>
      <c r="S233" s="5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</row>
    <row r="234">
      <c r="A234" s="31"/>
      <c r="B234" s="304"/>
      <c r="C234" s="5"/>
      <c r="D234" s="5"/>
      <c r="E234" s="4"/>
      <c r="F234" s="4"/>
      <c r="G234" s="4"/>
      <c r="H234" s="4"/>
      <c r="I234" s="5"/>
      <c r="J234" s="4"/>
      <c r="K234" s="4"/>
      <c r="L234" s="4"/>
      <c r="M234" s="4"/>
      <c r="N234" s="5"/>
      <c r="O234" s="5"/>
      <c r="P234" s="5"/>
      <c r="Q234" s="5"/>
      <c r="R234" s="5"/>
      <c r="S234" s="5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</row>
    <row r="235">
      <c r="A235" s="31"/>
      <c r="B235" s="304"/>
      <c r="C235" s="5"/>
      <c r="D235" s="5"/>
      <c r="E235" s="4"/>
      <c r="F235" s="4"/>
      <c r="G235" s="4"/>
      <c r="H235" s="4"/>
      <c r="I235" s="5"/>
      <c r="J235" s="4"/>
      <c r="K235" s="4"/>
      <c r="L235" s="4"/>
      <c r="M235" s="4"/>
      <c r="N235" s="5"/>
      <c r="O235" s="5"/>
      <c r="P235" s="5"/>
      <c r="Q235" s="5"/>
      <c r="R235" s="5"/>
      <c r="S235" s="5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</row>
    <row r="236">
      <c r="A236" s="31"/>
      <c r="B236" s="304"/>
      <c r="C236" s="5"/>
      <c r="D236" s="5"/>
      <c r="E236" s="4"/>
      <c r="F236" s="4"/>
      <c r="G236" s="4"/>
      <c r="H236" s="4"/>
      <c r="I236" s="5"/>
      <c r="J236" s="4"/>
      <c r="K236" s="4"/>
      <c r="L236" s="4"/>
      <c r="M236" s="4"/>
      <c r="N236" s="5"/>
      <c r="O236" s="5"/>
      <c r="P236" s="5"/>
      <c r="Q236" s="5"/>
      <c r="R236" s="5"/>
      <c r="S236" s="5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</row>
    <row r="237">
      <c r="A237" s="31"/>
      <c r="B237" s="304"/>
      <c r="C237" s="5"/>
      <c r="D237" s="5"/>
      <c r="E237" s="4"/>
      <c r="F237" s="4"/>
      <c r="G237" s="4"/>
      <c r="H237" s="4"/>
      <c r="I237" s="5"/>
      <c r="J237" s="4"/>
      <c r="K237" s="4"/>
      <c r="L237" s="4"/>
      <c r="M237" s="4"/>
      <c r="N237" s="5"/>
      <c r="O237" s="5"/>
      <c r="P237" s="5"/>
      <c r="Q237" s="5"/>
      <c r="R237" s="5"/>
      <c r="S237" s="5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</row>
    <row r="238">
      <c r="A238" s="31"/>
      <c r="B238" s="304"/>
      <c r="C238" s="5"/>
      <c r="D238" s="5"/>
      <c r="E238" s="4"/>
      <c r="F238" s="4"/>
      <c r="G238" s="4"/>
      <c r="H238" s="4"/>
      <c r="I238" s="5"/>
      <c r="J238" s="4"/>
      <c r="K238" s="4"/>
      <c r="L238" s="4"/>
      <c r="M238" s="4"/>
      <c r="N238" s="5"/>
      <c r="O238" s="5"/>
      <c r="P238" s="5"/>
      <c r="Q238" s="5"/>
      <c r="R238" s="5"/>
      <c r="S238" s="5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</row>
    <row r="239">
      <c r="A239" s="31"/>
      <c r="B239" s="304"/>
      <c r="C239" s="5"/>
      <c r="D239" s="5"/>
      <c r="E239" s="4"/>
      <c r="F239" s="4"/>
      <c r="G239" s="4"/>
      <c r="H239" s="4"/>
      <c r="I239" s="5"/>
      <c r="J239" s="4"/>
      <c r="K239" s="4"/>
      <c r="L239" s="4"/>
      <c r="M239" s="4"/>
      <c r="N239" s="5"/>
      <c r="O239" s="5"/>
      <c r="P239" s="5"/>
      <c r="Q239" s="5"/>
      <c r="R239" s="5"/>
      <c r="S239" s="5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</row>
    <row r="240">
      <c r="A240" s="31"/>
      <c r="B240" s="304"/>
      <c r="C240" s="5"/>
      <c r="D240" s="5"/>
      <c r="E240" s="4"/>
      <c r="F240" s="4"/>
      <c r="G240" s="4"/>
      <c r="H240" s="4"/>
      <c r="I240" s="5"/>
      <c r="J240" s="4"/>
      <c r="K240" s="4"/>
      <c r="L240" s="4"/>
      <c r="M240" s="4"/>
      <c r="N240" s="5"/>
      <c r="O240" s="5"/>
      <c r="P240" s="5"/>
      <c r="Q240" s="5"/>
      <c r="R240" s="5"/>
      <c r="S240" s="5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</row>
    <row r="241">
      <c r="A241" s="31"/>
      <c r="B241" s="304"/>
      <c r="C241" s="5"/>
      <c r="D241" s="5"/>
      <c r="E241" s="4"/>
      <c r="F241" s="4"/>
      <c r="G241" s="4"/>
      <c r="H241" s="4"/>
      <c r="I241" s="5"/>
      <c r="J241" s="4"/>
      <c r="K241" s="4"/>
      <c r="L241" s="4"/>
      <c r="M241" s="4"/>
      <c r="N241" s="5"/>
      <c r="O241" s="5"/>
      <c r="P241" s="5"/>
      <c r="Q241" s="5"/>
      <c r="R241" s="5"/>
      <c r="S241" s="5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</row>
    <row r="242">
      <c r="A242" s="31"/>
      <c r="B242" s="304"/>
      <c r="C242" s="5"/>
      <c r="D242" s="5"/>
      <c r="E242" s="4"/>
      <c r="F242" s="4"/>
      <c r="G242" s="4"/>
      <c r="H242" s="4"/>
      <c r="I242" s="5"/>
      <c r="J242" s="4"/>
      <c r="K242" s="4"/>
      <c r="L242" s="4"/>
      <c r="M242" s="4"/>
      <c r="N242" s="5"/>
      <c r="O242" s="5"/>
      <c r="P242" s="5"/>
      <c r="Q242" s="5"/>
      <c r="R242" s="5"/>
      <c r="S242" s="5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</row>
    <row r="243">
      <c r="A243" s="31"/>
      <c r="B243" s="304"/>
      <c r="C243" s="5"/>
      <c r="D243" s="5"/>
      <c r="E243" s="4"/>
      <c r="F243" s="4"/>
      <c r="G243" s="4"/>
      <c r="H243" s="4"/>
      <c r="I243" s="5"/>
      <c r="J243" s="4"/>
      <c r="K243" s="4"/>
      <c r="L243" s="4"/>
      <c r="M243" s="4"/>
      <c r="N243" s="5"/>
      <c r="O243" s="5"/>
      <c r="P243" s="5"/>
      <c r="Q243" s="5"/>
      <c r="R243" s="5"/>
      <c r="S243" s="5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</row>
    <row r="244">
      <c r="A244" s="31"/>
      <c r="B244" s="304"/>
      <c r="C244" s="5"/>
      <c r="D244" s="5"/>
      <c r="E244" s="4"/>
      <c r="F244" s="4"/>
      <c r="G244" s="4"/>
      <c r="H244" s="4"/>
      <c r="I244" s="5"/>
      <c r="J244" s="4"/>
      <c r="K244" s="4"/>
      <c r="L244" s="4"/>
      <c r="M244" s="4"/>
      <c r="N244" s="5"/>
      <c r="O244" s="5"/>
      <c r="P244" s="5"/>
      <c r="Q244" s="5"/>
      <c r="R244" s="5"/>
      <c r="S244" s="5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</row>
    <row r="245">
      <c r="A245" s="31"/>
      <c r="B245" s="304"/>
      <c r="C245" s="5"/>
      <c r="D245" s="5"/>
      <c r="E245" s="4"/>
      <c r="F245" s="4"/>
      <c r="G245" s="4"/>
      <c r="H245" s="4"/>
      <c r="I245" s="5"/>
      <c r="J245" s="4"/>
      <c r="K245" s="4"/>
      <c r="L245" s="4"/>
      <c r="M245" s="4"/>
      <c r="N245" s="5"/>
      <c r="O245" s="5"/>
      <c r="P245" s="5"/>
      <c r="Q245" s="5"/>
      <c r="R245" s="5"/>
      <c r="S245" s="5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</row>
    <row r="246">
      <c r="A246" s="31"/>
      <c r="B246" s="304"/>
      <c r="C246" s="5"/>
      <c r="D246" s="5"/>
      <c r="E246" s="4"/>
      <c r="F246" s="4"/>
      <c r="G246" s="4"/>
      <c r="H246" s="4"/>
      <c r="I246" s="5"/>
      <c r="J246" s="4"/>
      <c r="K246" s="4"/>
      <c r="L246" s="4"/>
      <c r="M246" s="4"/>
      <c r="N246" s="5"/>
      <c r="O246" s="5"/>
      <c r="P246" s="5"/>
      <c r="Q246" s="5"/>
      <c r="R246" s="5"/>
      <c r="S246" s="5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</row>
    <row r="247">
      <c r="A247" s="31"/>
      <c r="B247" s="304"/>
      <c r="C247" s="5"/>
      <c r="D247" s="5"/>
      <c r="E247" s="4"/>
      <c r="F247" s="4"/>
      <c r="G247" s="4"/>
      <c r="H247" s="4"/>
      <c r="I247" s="5"/>
      <c r="J247" s="4"/>
      <c r="K247" s="4"/>
      <c r="L247" s="4"/>
      <c r="M247" s="4"/>
      <c r="N247" s="5"/>
      <c r="O247" s="5"/>
      <c r="P247" s="5"/>
      <c r="Q247" s="5"/>
      <c r="R247" s="5"/>
      <c r="S247" s="5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</row>
    <row r="248">
      <c r="A248" s="31"/>
      <c r="B248" s="304"/>
      <c r="C248" s="5"/>
      <c r="D248" s="5"/>
      <c r="E248" s="4"/>
      <c r="F248" s="4"/>
      <c r="G248" s="4"/>
      <c r="H248" s="4"/>
      <c r="I248" s="5"/>
      <c r="J248" s="4"/>
      <c r="K248" s="4"/>
      <c r="L248" s="4"/>
      <c r="M248" s="4"/>
      <c r="N248" s="5"/>
      <c r="O248" s="5"/>
      <c r="P248" s="5"/>
      <c r="Q248" s="5"/>
      <c r="R248" s="5"/>
      <c r="S248" s="5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</row>
    <row r="249">
      <c r="A249" s="31"/>
      <c r="B249" s="304"/>
      <c r="C249" s="5"/>
      <c r="D249" s="5"/>
      <c r="E249" s="4"/>
      <c r="F249" s="4"/>
      <c r="G249" s="4"/>
      <c r="H249" s="4"/>
      <c r="I249" s="5"/>
      <c r="J249" s="4"/>
      <c r="K249" s="4"/>
      <c r="L249" s="4"/>
      <c r="M249" s="4"/>
      <c r="N249" s="5"/>
      <c r="O249" s="5"/>
      <c r="P249" s="5"/>
      <c r="Q249" s="5"/>
      <c r="R249" s="5"/>
      <c r="S249" s="5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</row>
    <row r="250">
      <c r="A250" s="31"/>
      <c r="B250" s="304"/>
      <c r="C250" s="5"/>
      <c r="D250" s="5"/>
      <c r="E250" s="4"/>
      <c r="F250" s="4"/>
      <c r="G250" s="4"/>
      <c r="H250" s="4"/>
      <c r="I250" s="5"/>
      <c r="J250" s="4"/>
      <c r="K250" s="4"/>
      <c r="L250" s="4"/>
      <c r="M250" s="4"/>
      <c r="N250" s="5"/>
      <c r="O250" s="5"/>
      <c r="P250" s="5"/>
      <c r="Q250" s="5"/>
      <c r="R250" s="5"/>
      <c r="S250" s="5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</row>
    <row r="251">
      <c r="A251" s="31"/>
      <c r="B251" s="304"/>
      <c r="C251" s="5"/>
      <c r="D251" s="5"/>
      <c r="E251" s="4"/>
      <c r="F251" s="4"/>
      <c r="G251" s="4"/>
      <c r="H251" s="4"/>
      <c r="I251" s="5"/>
      <c r="J251" s="4"/>
      <c r="K251" s="4"/>
      <c r="L251" s="4"/>
      <c r="M251" s="4"/>
      <c r="N251" s="5"/>
      <c r="O251" s="5"/>
      <c r="P251" s="5"/>
      <c r="Q251" s="5"/>
      <c r="R251" s="5"/>
      <c r="S251" s="5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</row>
    <row r="252">
      <c r="A252" s="31"/>
      <c r="B252" s="304"/>
      <c r="C252" s="5"/>
      <c r="D252" s="5"/>
      <c r="E252" s="4"/>
      <c r="F252" s="4"/>
      <c r="G252" s="4"/>
      <c r="H252" s="4"/>
      <c r="I252" s="5"/>
      <c r="J252" s="4"/>
      <c r="K252" s="4"/>
      <c r="L252" s="4"/>
      <c r="M252" s="4"/>
      <c r="N252" s="5"/>
      <c r="O252" s="5"/>
      <c r="P252" s="5"/>
      <c r="Q252" s="5"/>
      <c r="R252" s="5"/>
      <c r="S252" s="5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</row>
    <row r="253">
      <c r="A253" s="31"/>
      <c r="B253" s="304"/>
      <c r="C253" s="5"/>
      <c r="D253" s="5"/>
      <c r="E253" s="4"/>
      <c r="F253" s="4"/>
      <c r="G253" s="4"/>
      <c r="H253" s="4"/>
      <c r="I253" s="5"/>
      <c r="J253" s="4"/>
      <c r="K253" s="4"/>
      <c r="L253" s="4"/>
      <c r="M253" s="4"/>
      <c r="N253" s="5"/>
      <c r="O253" s="5"/>
      <c r="P253" s="5"/>
      <c r="Q253" s="5"/>
      <c r="R253" s="5"/>
      <c r="S253" s="5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</row>
    <row r="254">
      <c r="A254" s="31"/>
      <c r="B254" s="304"/>
      <c r="C254" s="5"/>
      <c r="D254" s="5"/>
      <c r="E254" s="4"/>
      <c r="F254" s="4"/>
      <c r="G254" s="4"/>
      <c r="H254" s="4"/>
      <c r="I254" s="5"/>
      <c r="J254" s="4"/>
      <c r="K254" s="4"/>
      <c r="L254" s="4"/>
      <c r="M254" s="4"/>
      <c r="N254" s="5"/>
      <c r="O254" s="5"/>
      <c r="P254" s="5"/>
      <c r="Q254" s="5"/>
      <c r="R254" s="5"/>
      <c r="S254" s="5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</row>
    <row r="255">
      <c r="A255" s="31"/>
      <c r="B255" s="304"/>
      <c r="C255" s="5"/>
      <c r="D255" s="5"/>
      <c r="E255" s="4"/>
      <c r="F255" s="4"/>
      <c r="G255" s="4"/>
      <c r="H255" s="4"/>
      <c r="I255" s="5"/>
      <c r="J255" s="4"/>
      <c r="K255" s="4"/>
      <c r="L255" s="4"/>
      <c r="M255" s="4"/>
      <c r="N255" s="5"/>
      <c r="O255" s="5"/>
      <c r="P255" s="5"/>
      <c r="Q255" s="5"/>
      <c r="R255" s="5"/>
      <c r="S255" s="5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</row>
    <row r="256">
      <c r="A256" s="31"/>
      <c r="B256" s="304"/>
      <c r="C256" s="5"/>
      <c r="D256" s="5"/>
      <c r="E256" s="4"/>
      <c r="F256" s="4"/>
      <c r="G256" s="4"/>
      <c r="H256" s="4"/>
      <c r="I256" s="5"/>
      <c r="J256" s="4"/>
      <c r="K256" s="4"/>
      <c r="L256" s="4"/>
      <c r="M256" s="4"/>
      <c r="N256" s="5"/>
      <c r="O256" s="5"/>
      <c r="P256" s="5"/>
      <c r="Q256" s="5"/>
      <c r="R256" s="5"/>
      <c r="S256" s="5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</row>
    <row r="257">
      <c r="A257" s="31"/>
      <c r="B257" s="304"/>
      <c r="C257" s="5"/>
      <c r="D257" s="5"/>
      <c r="E257" s="4"/>
      <c r="F257" s="4"/>
      <c r="G257" s="4"/>
      <c r="H257" s="4"/>
      <c r="I257" s="5"/>
      <c r="J257" s="4"/>
      <c r="K257" s="4"/>
      <c r="L257" s="4"/>
      <c r="M257" s="4"/>
      <c r="N257" s="5"/>
      <c r="O257" s="5"/>
      <c r="P257" s="5"/>
      <c r="Q257" s="5"/>
      <c r="R257" s="5"/>
      <c r="S257" s="5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</row>
    <row r="258">
      <c r="A258" s="31"/>
      <c r="B258" s="304"/>
      <c r="C258" s="5"/>
      <c r="D258" s="5"/>
      <c r="E258" s="4"/>
      <c r="F258" s="4"/>
      <c r="G258" s="4"/>
      <c r="H258" s="4"/>
      <c r="I258" s="5"/>
      <c r="J258" s="4"/>
      <c r="K258" s="4"/>
      <c r="L258" s="4"/>
      <c r="M258" s="4"/>
      <c r="N258" s="5"/>
      <c r="O258" s="5"/>
      <c r="P258" s="5"/>
      <c r="Q258" s="5"/>
      <c r="R258" s="5"/>
      <c r="S258" s="5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</row>
    <row r="259">
      <c r="A259" s="31"/>
      <c r="B259" s="304"/>
      <c r="C259" s="5"/>
      <c r="D259" s="5"/>
      <c r="E259" s="4"/>
      <c r="F259" s="4"/>
      <c r="G259" s="4"/>
      <c r="H259" s="4"/>
      <c r="I259" s="5"/>
      <c r="J259" s="4"/>
      <c r="K259" s="4"/>
      <c r="L259" s="4"/>
      <c r="M259" s="4"/>
      <c r="N259" s="5"/>
      <c r="O259" s="5"/>
      <c r="P259" s="5"/>
      <c r="Q259" s="5"/>
      <c r="R259" s="5"/>
      <c r="S259" s="5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</row>
    <row r="260">
      <c r="A260" s="31"/>
      <c r="B260" s="304"/>
      <c r="C260" s="5"/>
      <c r="D260" s="5"/>
      <c r="E260" s="4"/>
      <c r="F260" s="4"/>
      <c r="G260" s="4"/>
      <c r="H260" s="4"/>
      <c r="I260" s="5"/>
      <c r="J260" s="4"/>
      <c r="K260" s="4"/>
      <c r="L260" s="4"/>
      <c r="M260" s="4"/>
      <c r="N260" s="5"/>
      <c r="O260" s="5"/>
      <c r="P260" s="5"/>
      <c r="Q260" s="5"/>
      <c r="R260" s="5"/>
      <c r="S260" s="5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</row>
    <row r="261">
      <c r="A261" s="31"/>
      <c r="B261" s="304"/>
      <c r="C261" s="5"/>
      <c r="D261" s="5"/>
      <c r="E261" s="4"/>
      <c r="F261" s="4"/>
      <c r="G261" s="4"/>
      <c r="H261" s="4"/>
      <c r="I261" s="5"/>
      <c r="J261" s="4"/>
      <c r="K261" s="4"/>
      <c r="L261" s="4"/>
      <c r="M261" s="4"/>
      <c r="N261" s="5"/>
      <c r="O261" s="5"/>
      <c r="P261" s="5"/>
      <c r="Q261" s="5"/>
      <c r="R261" s="5"/>
      <c r="S261" s="5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</row>
    <row r="262">
      <c r="A262" s="31"/>
      <c r="B262" s="304"/>
      <c r="C262" s="5"/>
      <c r="D262" s="5"/>
      <c r="E262" s="4"/>
      <c r="F262" s="4"/>
      <c r="G262" s="4"/>
      <c r="H262" s="4"/>
      <c r="I262" s="5"/>
      <c r="J262" s="4"/>
      <c r="K262" s="4"/>
      <c r="L262" s="4"/>
      <c r="M262" s="4"/>
      <c r="N262" s="5"/>
      <c r="O262" s="5"/>
      <c r="P262" s="5"/>
      <c r="Q262" s="5"/>
      <c r="R262" s="5"/>
      <c r="S262" s="5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</row>
    <row r="263">
      <c r="A263" s="31"/>
      <c r="B263" s="304"/>
      <c r="C263" s="5"/>
      <c r="D263" s="5"/>
      <c r="E263" s="4"/>
      <c r="F263" s="4"/>
      <c r="G263" s="4"/>
      <c r="H263" s="4"/>
      <c r="I263" s="5"/>
      <c r="J263" s="4"/>
      <c r="K263" s="4"/>
      <c r="L263" s="4"/>
      <c r="M263" s="4"/>
      <c r="N263" s="5"/>
      <c r="O263" s="5"/>
      <c r="P263" s="5"/>
      <c r="Q263" s="5"/>
      <c r="R263" s="5"/>
      <c r="S263" s="5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</row>
    <row r="264">
      <c r="A264" s="31"/>
      <c r="B264" s="304"/>
      <c r="C264" s="5"/>
      <c r="D264" s="5"/>
      <c r="E264" s="4"/>
      <c r="F264" s="4"/>
      <c r="G264" s="4"/>
      <c r="H264" s="4"/>
      <c r="I264" s="5"/>
      <c r="J264" s="4"/>
      <c r="K264" s="4"/>
      <c r="L264" s="4"/>
      <c r="M264" s="4"/>
      <c r="N264" s="5"/>
      <c r="O264" s="5"/>
      <c r="P264" s="5"/>
      <c r="Q264" s="5"/>
      <c r="R264" s="5"/>
      <c r="S264" s="5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</row>
    <row r="265">
      <c r="A265" s="31"/>
      <c r="B265" s="304"/>
      <c r="C265" s="5"/>
      <c r="D265" s="5"/>
      <c r="E265" s="4"/>
      <c r="F265" s="4"/>
      <c r="G265" s="4"/>
      <c r="H265" s="4"/>
      <c r="I265" s="5"/>
      <c r="J265" s="4"/>
      <c r="K265" s="4"/>
      <c r="L265" s="4"/>
      <c r="M265" s="4"/>
      <c r="N265" s="5"/>
      <c r="O265" s="5"/>
      <c r="P265" s="5"/>
      <c r="Q265" s="5"/>
      <c r="R265" s="5"/>
      <c r="S265" s="5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</row>
    <row r="266">
      <c r="A266" s="31"/>
      <c r="B266" s="304"/>
      <c r="C266" s="5"/>
      <c r="D266" s="5"/>
      <c r="E266" s="4"/>
      <c r="F266" s="4"/>
      <c r="G266" s="4"/>
      <c r="H266" s="4"/>
      <c r="I266" s="5"/>
      <c r="J266" s="4"/>
      <c r="K266" s="4"/>
      <c r="L266" s="4"/>
      <c r="M266" s="4"/>
      <c r="N266" s="5"/>
      <c r="O266" s="5"/>
      <c r="P266" s="5"/>
      <c r="Q266" s="5"/>
      <c r="R266" s="5"/>
      <c r="S266" s="5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</row>
    <row r="267">
      <c r="A267" s="31"/>
      <c r="B267" s="304"/>
      <c r="C267" s="5"/>
      <c r="D267" s="5"/>
      <c r="E267" s="4"/>
      <c r="F267" s="4"/>
      <c r="G267" s="4"/>
      <c r="H267" s="4"/>
      <c r="I267" s="5"/>
      <c r="J267" s="4"/>
      <c r="K267" s="4"/>
      <c r="L267" s="4"/>
      <c r="M267" s="4"/>
      <c r="N267" s="5"/>
      <c r="O267" s="5"/>
      <c r="P267" s="5"/>
      <c r="Q267" s="5"/>
      <c r="R267" s="5"/>
      <c r="S267" s="5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</row>
    <row r="268">
      <c r="A268" s="31"/>
      <c r="B268" s="304"/>
      <c r="C268" s="5"/>
      <c r="D268" s="5"/>
      <c r="E268" s="4"/>
      <c r="F268" s="4"/>
      <c r="G268" s="4"/>
      <c r="H268" s="4"/>
      <c r="I268" s="5"/>
      <c r="J268" s="4"/>
      <c r="K268" s="4"/>
      <c r="L268" s="4"/>
      <c r="M268" s="4"/>
      <c r="N268" s="5"/>
      <c r="O268" s="5"/>
      <c r="P268" s="5"/>
      <c r="Q268" s="5"/>
      <c r="R268" s="5"/>
      <c r="S268" s="5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</row>
    <row r="269">
      <c r="A269" s="31"/>
      <c r="B269" s="304"/>
      <c r="C269" s="5"/>
      <c r="D269" s="5"/>
      <c r="E269" s="4"/>
      <c r="F269" s="4"/>
      <c r="G269" s="4"/>
      <c r="H269" s="4"/>
      <c r="I269" s="5"/>
      <c r="J269" s="4"/>
      <c r="K269" s="4"/>
      <c r="L269" s="4"/>
      <c r="M269" s="4"/>
      <c r="N269" s="5"/>
      <c r="O269" s="5"/>
      <c r="P269" s="5"/>
      <c r="Q269" s="5"/>
      <c r="R269" s="5"/>
      <c r="S269" s="5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</row>
    <row r="270">
      <c r="A270" s="31"/>
      <c r="B270" s="304"/>
      <c r="C270" s="5"/>
      <c r="D270" s="5"/>
      <c r="E270" s="4"/>
      <c r="F270" s="4"/>
      <c r="G270" s="4"/>
      <c r="H270" s="4"/>
      <c r="I270" s="5"/>
      <c r="J270" s="4"/>
      <c r="K270" s="4"/>
      <c r="L270" s="4"/>
      <c r="M270" s="4"/>
      <c r="N270" s="5"/>
      <c r="O270" s="5"/>
      <c r="P270" s="5"/>
      <c r="Q270" s="5"/>
      <c r="R270" s="5"/>
      <c r="S270" s="5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</row>
    <row r="271">
      <c r="A271" s="31"/>
      <c r="B271" s="304"/>
      <c r="C271" s="5"/>
      <c r="D271" s="5"/>
      <c r="E271" s="4"/>
      <c r="F271" s="4"/>
      <c r="G271" s="4"/>
      <c r="H271" s="4"/>
      <c r="I271" s="5"/>
      <c r="J271" s="4"/>
      <c r="K271" s="4"/>
      <c r="L271" s="4"/>
      <c r="M271" s="4"/>
      <c r="N271" s="5"/>
      <c r="O271" s="5"/>
      <c r="P271" s="5"/>
      <c r="Q271" s="5"/>
      <c r="R271" s="5"/>
      <c r="S271" s="5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</row>
    <row r="272">
      <c r="A272" s="31"/>
      <c r="B272" s="304"/>
      <c r="C272" s="5"/>
      <c r="D272" s="5"/>
      <c r="E272" s="4"/>
      <c r="F272" s="4"/>
      <c r="G272" s="4"/>
      <c r="H272" s="4"/>
      <c r="I272" s="5"/>
      <c r="J272" s="4"/>
      <c r="K272" s="4"/>
      <c r="L272" s="4"/>
      <c r="M272" s="4"/>
      <c r="N272" s="5"/>
      <c r="O272" s="5"/>
      <c r="P272" s="5"/>
      <c r="Q272" s="5"/>
      <c r="R272" s="5"/>
      <c r="S272" s="5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</row>
    <row r="273">
      <c r="A273" s="31"/>
      <c r="B273" s="304"/>
      <c r="C273" s="5"/>
      <c r="D273" s="5"/>
      <c r="E273" s="4"/>
      <c r="F273" s="4"/>
      <c r="G273" s="4"/>
      <c r="H273" s="4"/>
      <c r="I273" s="5"/>
      <c r="J273" s="4"/>
      <c r="K273" s="4"/>
      <c r="L273" s="4"/>
      <c r="M273" s="4"/>
      <c r="N273" s="5"/>
      <c r="O273" s="5"/>
      <c r="P273" s="5"/>
      <c r="Q273" s="5"/>
      <c r="R273" s="5"/>
      <c r="S273" s="5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</row>
    <row r="274">
      <c r="A274" s="31"/>
      <c r="B274" s="304"/>
      <c r="C274" s="5"/>
      <c r="D274" s="5"/>
      <c r="E274" s="4"/>
      <c r="F274" s="4"/>
      <c r="G274" s="4"/>
      <c r="H274" s="4"/>
      <c r="I274" s="5"/>
      <c r="J274" s="4"/>
      <c r="K274" s="4"/>
      <c r="L274" s="4"/>
      <c r="M274" s="4"/>
      <c r="N274" s="5"/>
      <c r="O274" s="5"/>
      <c r="P274" s="5"/>
      <c r="Q274" s="5"/>
      <c r="R274" s="5"/>
      <c r="S274" s="5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</row>
    <row r="275">
      <c r="A275" s="31"/>
      <c r="B275" s="304"/>
      <c r="C275" s="5"/>
      <c r="D275" s="5"/>
      <c r="E275" s="4"/>
      <c r="F275" s="4"/>
      <c r="G275" s="4"/>
      <c r="H275" s="4"/>
      <c r="I275" s="5"/>
      <c r="J275" s="4"/>
      <c r="K275" s="4"/>
      <c r="L275" s="4"/>
      <c r="M275" s="4"/>
      <c r="N275" s="5"/>
      <c r="O275" s="5"/>
      <c r="P275" s="5"/>
      <c r="Q275" s="5"/>
      <c r="R275" s="5"/>
      <c r="S275" s="5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</row>
    <row r="276">
      <c r="A276" s="31"/>
      <c r="B276" s="304"/>
      <c r="C276" s="5"/>
      <c r="D276" s="5"/>
      <c r="E276" s="4"/>
      <c r="F276" s="4"/>
      <c r="G276" s="4"/>
      <c r="H276" s="4"/>
      <c r="I276" s="5"/>
      <c r="J276" s="4"/>
      <c r="K276" s="4"/>
      <c r="L276" s="4"/>
      <c r="M276" s="4"/>
      <c r="N276" s="5"/>
      <c r="O276" s="5"/>
      <c r="P276" s="5"/>
      <c r="Q276" s="5"/>
      <c r="R276" s="5"/>
      <c r="S276" s="5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</row>
    <row r="277">
      <c r="A277" s="31"/>
      <c r="B277" s="304"/>
      <c r="C277" s="5"/>
      <c r="D277" s="5"/>
      <c r="E277" s="4"/>
      <c r="F277" s="4"/>
      <c r="G277" s="4"/>
      <c r="H277" s="4"/>
      <c r="I277" s="5"/>
      <c r="J277" s="4"/>
      <c r="K277" s="4"/>
      <c r="L277" s="4"/>
      <c r="M277" s="4"/>
      <c r="N277" s="5"/>
      <c r="O277" s="5"/>
      <c r="P277" s="5"/>
      <c r="Q277" s="5"/>
      <c r="R277" s="5"/>
      <c r="S277" s="5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</row>
    <row r="278">
      <c r="A278" s="31"/>
      <c r="B278" s="304"/>
      <c r="C278" s="5"/>
      <c r="D278" s="5"/>
      <c r="E278" s="4"/>
      <c r="F278" s="4"/>
      <c r="G278" s="4"/>
      <c r="H278" s="4"/>
      <c r="I278" s="5"/>
      <c r="J278" s="4"/>
      <c r="K278" s="4"/>
      <c r="L278" s="4"/>
      <c r="M278" s="4"/>
      <c r="N278" s="5"/>
      <c r="O278" s="5"/>
      <c r="P278" s="5"/>
      <c r="Q278" s="5"/>
      <c r="R278" s="5"/>
      <c r="S278" s="5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</row>
    <row r="279">
      <c r="A279" s="31"/>
      <c r="B279" s="304"/>
      <c r="C279" s="5"/>
      <c r="D279" s="5"/>
      <c r="E279" s="4"/>
      <c r="F279" s="4"/>
      <c r="G279" s="4"/>
      <c r="H279" s="4"/>
      <c r="I279" s="5"/>
      <c r="J279" s="4"/>
      <c r="K279" s="4"/>
      <c r="L279" s="4"/>
      <c r="M279" s="4"/>
      <c r="N279" s="5"/>
      <c r="O279" s="5"/>
      <c r="P279" s="5"/>
      <c r="Q279" s="5"/>
      <c r="R279" s="5"/>
      <c r="S279" s="5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</row>
    <row r="280">
      <c r="A280" s="31"/>
      <c r="B280" s="304"/>
      <c r="C280" s="5"/>
      <c r="D280" s="5"/>
      <c r="E280" s="4"/>
      <c r="F280" s="4"/>
      <c r="G280" s="4"/>
      <c r="H280" s="4"/>
      <c r="I280" s="5"/>
      <c r="J280" s="4"/>
      <c r="K280" s="4"/>
      <c r="L280" s="4"/>
      <c r="M280" s="4"/>
      <c r="N280" s="5"/>
      <c r="O280" s="5"/>
      <c r="P280" s="5"/>
      <c r="Q280" s="5"/>
      <c r="R280" s="5"/>
      <c r="S280" s="5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</row>
    <row r="281">
      <c r="A281" s="31"/>
      <c r="B281" s="304"/>
      <c r="C281" s="5"/>
      <c r="D281" s="5"/>
      <c r="E281" s="4"/>
      <c r="F281" s="4"/>
      <c r="G281" s="4"/>
      <c r="H281" s="4"/>
      <c r="I281" s="5"/>
      <c r="J281" s="4"/>
      <c r="K281" s="4"/>
      <c r="L281" s="4"/>
      <c r="M281" s="4"/>
      <c r="N281" s="5"/>
      <c r="O281" s="5"/>
      <c r="P281" s="5"/>
      <c r="Q281" s="5"/>
      <c r="R281" s="5"/>
      <c r="S281" s="5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</row>
    <row r="282">
      <c r="A282" s="31"/>
      <c r="B282" s="304"/>
      <c r="C282" s="5"/>
      <c r="D282" s="5"/>
      <c r="E282" s="4"/>
      <c r="F282" s="4"/>
      <c r="G282" s="4"/>
      <c r="H282" s="4"/>
      <c r="I282" s="5"/>
      <c r="J282" s="4"/>
      <c r="K282" s="4"/>
      <c r="L282" s="4"/>
      <c r="M282" s="4"/>
      <c r="N282" s="5"/>
      <c r="O282" s="5"/>
      <c r="P282" s="5"/>
      <c r="Q282" s="5"/>
      <c r="R282" s="5"/>
      <c r="S282" s="5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</row>
    <row r="283">
      <c r="A283" s="31"/>
      <c r="B283" s="304"/>
      <c r="C283" s="5"/>
      <c r="D283" s="5"/>
      <c r="E283" s="4"/>
      <c r="F283" s="4"/>
      <c r="G283" s="4"/>
      <c r="H283" s="4"/>
      <c r="I283" s="5"/>
      <c r="J283" s="4"/>
      <c r="K283" s="4"/>
      <c r="L283" s="4"/>
      <c r="M283" s="4"/>
      <c r="N283" s="5"/>
      <c r="O283" s="5"/>
      <c r="P283" s="5"/>
      <c r="Q283" s="5"/>
      <c r="R283" s="5"/>
      <c r="S283" s="5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</row>
    <row r="284">
      <c r="A284" s="31"/>
      <c r="B284" s="304"/>
      <c r="C284" s="5"/>
      <c r="D284" s="5"/>
      <c r="E284" s="4"/>
      <c r="F284" s="4"/>
      <c r="G284" s="4"/>
      <c r="H284" s="4"/>
      <c r="I284" s="5"/>
      <c r="J284" s="4"/>
      <c r="K284" s="4"/>
      <c r="L284" s="4"/>
      <c r="M284" s="4"/>
      <c r="N284" s="5"/>
      <c r="O284" s="5"/>
      <c r="P284" s="5"/>
      <c r="Q284" s="5"/>
      <c r="R284" s="5"/>
      <c r="S284" s="5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</row>
    <row r="285">
      <c r="A285" s="31"/>
      <c r="B285" s="304"/>
      <c r="C285" s="5"/>
      <c r="D285" s="5"/>
      <c r="E285" s="4"/>
      <c r="F285" s="4"/>
      <c r="G285" s="4"/>
      <c r="H285" s="4"/>
      <c r="I285" s="5"/>
      <c r="J285" s="4"/>
      <c r="K285" s="4"/>
      <c r="L285" s="4"/>
      <c r="M285" s="4"/>
      <c r="N285" s="5"/>
      <c r="O285" s="5"/>
      <c r="P285" s="5"/>
      <c r="Q285" s="5"/>
      <c r="R285" s="5"/>
      <c r="S285" s="5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</row>
    <row r="286">
      <c r="A286" s="31"/>
      <c r="B286" s="304"/>
      <c r="C286" s="5"/>
      <c r="D286" s="5"/>
      <c r="E286" s="4"/>
      <c r="F286" s="4"/>
      <c r="G286" s="4"/>
      <c r="H286" s="4"/>
      <c r="I286" s="5"/>
      <c r="J286" s="4"/>
      <c r="K286" s="4"/>
      <c r="L286" s="4"/>
      <c r="M286" s="4"/>
      <c r="N286" s="5"/>
      <c r="O286" s="5"/>
      <c r="P286" s="5"/>
      <c r="Q286" s="5"/>
      <c r="R286" s="5"/>
      <c r="S286" s="5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</row>
    <row r="287">
      <c r="A287" s="31"/>
      <c r="B287" s="304"/>
      <c r="C287" s="5"/>
      <c r="D287" s="5"/>
      <c r="E287" s="4"/>
      <c r="F287" s="4"/>
      <c r="G287" s="4"/>
      <c r="H287" s="4"/>
      <c r="I287" s="5"/>
      <c r="J287" s="4"/>
      <c r="K287" s="4"/>
      <c r="L287" s="4"/>
      <c r="M287" s="4"/>
      <c r="N287" s="5"/>
      <c r="O287" s="5"/>
      <c r="P287" s="5"/>
      <c r="Q287" s="5"/>
      <c r="R287" s="5"/>
      <c r="S287" s="5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</row>
    <row r="288">
      <c r="A288" s="31"/>
      <c r="B288" s="304"/>
      <c r="C288" s="5"/>
      <c r="D288" s="5"/>
      <c r="E288" s="4"/>
      <c r="F288" s="4"/>
      <c r="G288" s="4"/>
      <c r="H288" s="4"/>
      <c r="I288" s="5"/>
      <c r="J288" s="4"/>
      <c r="K288" s="4"/>
      <c r="L288" s="4"/>
      <c r="M288" s="4"/>
      <c r="N288" s="5"/>
      <c r="O288" s="5"/>
      <c r="P288" s="5"/>
      <c r="Q288" s="5"/>
      <c r="R288" s="5"/>
      <c r="S288" s="5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</row>
    <row r="289">
      <c r="A289" s="31"/>
      <c r="B289" s="304"/>
      <c r="C289" s="5"/>
      <c r="D289" s="5"/>
      <c r="E289" s="4"/>
      <c r="F289" s="4"/>
      <c r="G289" s="4"/>
      <c r="H289" s="4"/>
      <c r="I289" s="5"/>
      <c r="J289" s="4"/>
      <c r="K289" s="4"/>
      <c r="L289" s="4"/>
      <c r="M289" s="4"/>
      <c r="N289" s="5"/>
      <c r="O289" s="5"/>
      <c r="P289" s="5"/>
      <c r="Q289" s="5"/>
      <c r="R289" s="5"/>
      <c r="S289" s="5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</row>
    <row r="290">
      <c r="A290" s="31"/>
      <c r="B290" s="304"/>
      <c r="C290" s="5"/>
      <c r="D290" s="5"/>
      <c r="E290" s="4"/>
      <c r="F290" s="4"/>
      <c r="G290" s="4"/>
      <c r="H290" s="4"/>
      <c r="I290" s="5"/>
      <c r="J290" s="4"/>
      <c r="K290" s="4"/>
      <c r="L290" s="4"/>
      <c r="M290" s="4"/>
      <c r="N290" s="5"/>
      <c r="O290" s="5"/>
      <c r="P290" s="5"/>
      <c r="Q290" s="5"/>
      <c r="R290" s="5"/>
      <c r="S290" s="5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</row>
    <row r="291">
      <c r="A291" s="31"/>
      <c r="B291" s="304"/>
      <c r="C291" s="5"/>
      <c r="D291" s="5"/>
      <c r="E291" s="4"/>
      <c r="F291" s="4"/>
      <c r="G291" s="4"/>
      <c r="H291" s="4"/>
      <c r="I291" s="5"/>
      <c r="J291" s="4"/>
      <c r="K291" s="4"/>
      <c r="L291" s="4"/>
      <c r="M291" s="4"/>
      <c r="N291" s="5"/>
      <c r="O291" s="5"/>
      <c r="P291" s="5"/>
      <c r="Q291" s="5"/>
      <c r="R291" s="5"/>
      <c r="S291" s="5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</row>
    <row r="292">
      <c r="A292" s="31"/>
      <c r="B292" s="304"/>
      <c r="C292" s="5"/>
      <c r="D292" s="5"/>
      <c r="E292" s="4"/>
      <c r="F292" s="4"/>
      <c r="G292" s="4"/>
      <c r="H292" s="4"/>
      <c r="I292" s="5"/>
      <c r="J292" s="4"/>
      <c r="K292" s="4"/>
      <c r="L292" s="4"/>
      <c r="M292" s="4"/>
      <c r="N292" s="5"/>
      <c r="O292" s="5"/>
      <c r="P292" s="5"/>
      <c r="Q292" s="5"/>
      <c r="R292" s="5"/>
      <c r="S292" s="5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</row>
    <row r="293">
      <c r="A293" s="31"/>
      <c r="B293" s="304"/>
      <c r="C293" s="5"/>
      <c r="D293" s="5"/>
      <c r="E293" s="4"/>
      <c r="F293" s="4"/>
      <c r="G293" s="4"/>
      <c r="H293" s="4"/>
      <c r="I293" s="5"/>
      <c r="J293" s="4"/>
      <c r="K293" s="4"/>
      <c r="L293" s="4"/>
      <c r="M293" s="4"/>
      <c r="N293" s="5"/>
      <c r="O293" s="5"/>
      <c r="P293" s="5"/>
      <c r="Q293" s="5"/>
      <c r="R293" s="5"/>
      <c r="S293" s="5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</row>
    <row r="294">
      <c r="A294" s="31"/>
      <c r="B294" s="304"/>
      <c r="C294" s="5"/>
      <c r="D294" s="5"/>
      <c r="E294" s="4"/>
      <c r="F294" s="4"/>
      <c r="G294" s="4"/>
      <c r="H294" s="4"/>
      <c r="I294" s="5"/>
      <c r="J294" s="4"/>
      <c r="K294" s="4"/>
      <c r="L294" s="4"/>
      <c r="M294" s="4"/>
      <c r="N294" s="5"/>
      <c r="O294" s="5"/>
      <c r="P294" s="5"/>
      <c r="Q294" s="5"/>
      <c r="R294" s="5"/>
      <c r="S294" s="5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</row>
    <row r="295">
      <c r="A295" s="31"/>
      <c r="B295" s="304"/>
      <c r="C295" s="5"/>
      <c r="D295" s="5"/>
      <c r="E295" s="4"/>
      <c r="F295" s="4"/>
      <c r="G295" s="4"/>
      <c r="H295" s="4"/>
      <c r="I295" s="5"/>
      <c r="J295" s="4"/>
      <c r="K295" s="4"/>
      <c r="L295" s="4"/>
      <c r="M295" s="4"/>
      <c r="N295" s="5"/>
      <c r="O295" s="5"/>
      <c r="P295" s="5"/>
      <c r="Q295" s="5"/>
      <c r="R295" s="5"/>
      <c r="S295" s="5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</row>
    <row r="296">
      <c r="A296" s="31"/>
      <c r="B296" s="304"/>
      <c r="C296" s="5"/>
      <c r="D296" s="5"/>
      <c r="E296" s="4"/>
      <c r="F296" s="4"/>
      <c r="G296" s="4"/>
      <c r="H296" s="4"/>
      <c r="I296" s="5"/>
      <c r="J296" s="4"/>
      <c r="K296" s="4"/>
      <c r="L296" s="4"/>
      <c r="M296" s="4"/>
      <c r="N296" s="5"/>
      <c r="O296" s="5"/>
      <c r="P296" s="5"/>
      <c r="Q296" s="5"/>
      <c r="R296" s="5"/>
      <c r="S296" s="5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</row>
    <row r="297">
      <c r="A297" s="31"/>
      <c r="B297" s="304"/>
      <c r="C297" s="5"/>
      <c r="D297" s="5"/>
      <c r="E297" s="4"/>
      <c r="F297" s="4"/>
      <c r="G297" s="4"/>
      <c r="H297" s="4"/>
      <c r="I297" s="5"/>
      <c r="J297" s="4"/>
      <c r="K297" s="4"/>
      <c r="L297" s="4"/>
      <c r="M297" s="4"/>
      <c r="N297" s="5"/>
      <c r="O297" s="5"/>
      <c r="P297" s="5"/>
      <c r="Q297" s="5"/>
      <c r="R297" s="5"/>
      <c r="S297" s="5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</row>
    <row r="298">
      <c r="A298" s="31"/>
      <c r="B298" s="304"/>
      <c r="C298" s="5"/>
      <c r="D298" s="5"/>
      <c r="E298" s="4"/>
      <c r="F298" s="4"/>
      <c r="G298" s="4"/>
      <c r="H298" s="4"/>
      <c r="I298" s="5"/>
      <c r="J298" s="4"/>
      <c r="K298" s="4"/>
      <c r="L298" s="4"/>
      <c r="M298" s="4"/>
      <c r="N298" s="5"/>
      <c r="O298" s="5"/>
      <c r="P298" s="5"/>
      <c r="Q298" s="5"/>
      <c r="R298" s="5"/>
      <c r="S298" s="5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</row>
    <row r="299">
      <c r="A299" s="31"/>
      <c r="B299" s="304"/>
      <c r="C299" s="5"/>
      <c r="D299" s="5"/>
      <c r="E299" s="4"/>
      <c r="F299" s="4"/>
      <c r="G299" s="4"/>
      <c r="H299" s="4"/>
      <c r="I299" s="5"/>
      <c r="J299" s="4"/>
      <c r="K299" s="4"/>
      <c r="L299" s="4"/>
      <c r="M299" s="4"/>
      <c r="N299" s="5"/>
      <c r="O299" s="5"/>
      <c r="P299" s="5"/>
      <c r="Q299" s="5"/>
      <c r="R299" s="5"/>
      <c r="S299" s="5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</row>
    <row r="300">
      <c r="A300" s="31"/>
      <c r="B300" s="304"/>
      <c r="C300" s="5"/>
      <c r="D300" s="5"/>
      <c r="E300" s="4"/>
      <c r="F300" s="4"/>
      <c r="G300" s="4"/>
      <c r="H300" s="4"/>
      <c r="I300" s="5"/>
      <c r="J300" s="4"/>
      <c r="K300" s="4"/>
      <c r="L300" s="4"/>
      <c r="M300" s="4"/>
      <c r="N300" s="5"/>
      <c r="O300" s="5"/>
      <c r="P300" s="5"/>
      <c r="Q300" s="5"/>
      <c r="R300" s="5"/>
      <c r="S300" s="5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</row>
    <row r="301">
      <c r="A301" s="31"/>
      <c r="B301" s="304"/>
      <c r="C301" s="5"/>
      <c r="D301" s="5"/>
      <c r="E301" s="4"/>
      <c r="F301" s="4"/>
      <c r="G301" s="4"/>
      <c r="H301" s="4"/>
      <c r="I301" s="5"/>
      <c r="J301" s="4"/>
      <c r="K301" s="4"/>
      <c r="L301" s="4"/>
      <c r="M301" s="4"/>
      <c r="N301" s="5"/>
      <c r="O301" s="5"/>
      <c r="P301" s="5"/>
      <c r="Q301" s="5"/>
      <c r="R301" s="5"/>
      <c r="S301" s="5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</row>
    <row r="302">
      <c r="A302" s="31"/>
      <c r="B302" s="304"/>
      <c r="C302" s="5"/>
      <c r="D302" s="5"/>
      <c r="E302" s="4"/>
      <c r="F302" s="4"/>
      <c r="G302" s="4"/>
      <c r="H302" s="4"/>
      <c r="I302" s="5"/>
      <c r="J302" s="4"/>
      <c r="K302" s="4"/>
      <c r="L302" s="4"/>
      <c r="M302" s="4"/>
      <c r="N302" s="5"/>
      <c r="O302" s="5"/>
      <c r="P302" s="5"/>
      <c r="Q302" s="5"/>
      <c r="R302" s="5"/>
      <c r="S302" s="5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</row>
    <row r="303">
      <c r="A303" s="31"/>
      <c r="B303" s="304"/>
      <c r="C303" s="5"/>
      <c r="D303" s="5"/>
      <c r="E303" s="4"/>
      <c r="F303" s="4"/>
      <c r="G303" s="4"/>
      <c r="H303" s="4"/>
      <c r="I303" s="5"/>
      <c r="J303" s="4"/>
      <c r="K303" s="4"/>
      <c r="L303" s="4"/>
      <c r="M303" s="4"/>
      <c r="N303" s="5"/>
      <c r="O303" s="5"/>
      <c r="P303" s="5"/>
      <c r="Q303" s="5"/>
      <c r="R303" s="5"/>
      <c r="S303" s="5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</row>
    <row r="304">
      <c r="A304" s="31"/>
      <c r="B304" s="304"/>
      <c r="C304" s="5"/>
      <c r="D304" s="5"/>
      <c r="E304" s="4"/>
      <c r="F304" s="4"/>
      <c r="G304" s="4"/>
      <c r="H304" s="4"/>
      <c r="I304" s="5"/>
      <c r="J304" s="4"/>
      <c r="K304" s="4"/>
      <c r="L304" s="4"/>
      <c r="M304" s="4"/>
      <c r="N304" s="5"/>
      <c r="O304" s="5"/>
      <c r="P304" s="5"/>
      <c r="Q304" s="5"/>
      <c r="R304" s="5"/>
      <c r="S304" s="5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</row>
    <row r="305">
      <c r="A305" s="31"/>
      <c r="B305" s="304"/>
      <c r="C305" s="5"/>
      <c r="D305" s="5"/>
      <c r="E305" s="4"/>
      <c r="F305" s="4"/>
      <c r="G305" s="4"/>
      <c r="H305" s="4"/>
      <c r="I305" s="5"/>
      <c r="J305" s="4"/>
      <c r="K305" s="4"/>
      <c r="L305" s="4"/>
      <c r="M305" s="4"/>
      <c r="N305" s="5"/>
      <c r="O305" s="5"/>
      <c r="P305" s="5"/>
      <c r="Q305" s="5"/>
      <c r="R305" s="5"/>
      <c r="S305" s="5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</row>
    <row r="306">
      <c r="A306" s="31"/>
      <c r="B306" s="304"/>
      <c r="C306" s="5"/>
      <c r="D306" s="5"/>
      <c r="E306" s="4"/>
      <c r="F306" s="4"/>
      <c r="G306" s="4"/>
      <c r="H306" s="4"/>
      <c r="I306" s="5"/>
      <c r="J306" s="4"/>
      <c r="K306" s="4"/>
      <c r="L306" s="4"/>
      <c r="M306" s="4"/>
      <c r="N306" s="5"/>
      <c r="O306" s="5"/>
      <c r="P306" s="5"/>
      <c r="Q306" s="5"/>
      <c r="R306" s="5"/>
      <c r="S306" s="5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</row>
    <row r="307">
      <c r="A307" s="31"/>
      <c r="B307" s="304"/>
      <c r="C307" s="5"/>
      <c r="D307" s="5"/>
      <c r="E307" s="4"/>
      <c r="F307" s="4"/>
      <c r="G307" s="4"/>
      <c r="H307" s="4"/>
      <c r="I307" s="5"/>
      <c r="J307" s="4"/>
      <c r="K307" s="4"/>
      <c r="L307" s="4"/>
      <c r="M307" s="4"/>
      <c r="N307" s="5"/>
      <c r="O307" s="5"/>
      <c r="P307" s="5"/>
      <c r="Q307" s="5"/>
      <c r="R307" s="5"/>
      <c r="S307" s="5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</row>
    <row r="308">
      <c r="A308" s="31"/>
      <c r="B308" s="304"/>
      <c r="C308" s="5"/>
      <c r="D308" s="5"/>
      <c r="E308" s="4"/>
      <c r="F308" s="4"/>
      <c r="G308" s="4"/>
      <c r="H308" s="4"/>
      <c r="I308" s="5"/>
      <c r="J308" s="4"/>
      <c r="K308" s="4"/>
      <c r="L308" s="4"/>
      <c r="M308" s="4"/>
      <c r="N308" s="5"/>
      <c r="O308" s="5"/>
      <c r="P308" s="5"/>
      <c r="Q308" s="5"/>
      <c r="R308" s="5"/>
      <c r="S308" s="5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</row>
    <row r="309">
      <c r="A309" s="31"/>
      <c r="B309" s="304"/>
      <c r="C309" s="5"/>
      <c r="D309" s="5"/>
      <c r="E309" s="4"/>
      <c r="F309" s="4"/>
      <c r="G309" s="4"/>
      <c r="H309" s="4"/>
      <c r="I309" s="5"/>
      <c r="J309" s="4"/>
      <c r="K309" s="4"/>
      <c r="L309" s="4"/>
      <c r="M309" s="4"/>
      <c r="N309" s="5"/>
      <c r="O309" s="5"/>
      <c r="P309" s="5"/>
      <c r="Q309" s="5"/>
      <c r="R309" s="5"/>
      <c r="S309" s="5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</row>
    <row r="310">
      <c r="A310" s="31"/>
      <c r="B310" s="304"/>
      <c r="C310" s="5"/>
      <c r="D310" s="5"/>
      <c r="E310" s="4"/>
      <c r="F310" s="4"/>
      <c r="G310" s="4"/>
      <c r="H310" s="4"/>
      <c r="I310" s="5"/>
      <c r="J310" s="4"/>
      <c r="K310" s="4"/>
      <c r="L310" s="4"/>
      <c r="M310" s="4"/>
      <c r="N310" s="5"/>
      <c r="O310" s="5"/>
      <c r="P310" s="5"/>
      <c r="Q310" s="5"/>
      <c r="R310" s="5"/>
      <c r="S310" s="5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</row>
    <row r="311">
      <c r="A311" s="31"/>
      <c r="B311" s="304"/>
      <c r="C311" s="5"/>
      <c r="D311" s="5"/>
      <c r="E311" s="4"/>
      <c r="F311" s="4"/>
      <c r="G311" s="4"/>
      <c r="H311" s="4"/>
      <c r="I311" s="5"/>
      <c r="J311" s="4"/>
      <c r="K311" s="4"/>
      <c r="L311" s="4"/>
      <c r="M311" s="4"/>
      <c r="N311" s="5"/>
      <c r="O311" s="5"/>
      <c r="P311" s="5"/>
      <c r="Q311" s="5"/>
      <c r="R311" s="5"/>
      <c r="S311" s="5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</row>
    <row r="312">
      <c r="A312" s="31"/>
      <c r="B312" s="304"/>
      <c r="C312" s="5"/>
      <c r="D312" s="5"/>
      <c r="E312" s="4"/>
      <c r="F312" s="4"/>
      <c r="G312" s="4"/>
      <c r="H312" s="4"/>
      <c r="I312" s="5"/>
      <c r="J312" s="4"/>
      <c r="K312" s="4"/>
      <c r="L312" s="4"/>
      <c r="M312" s="4"/>
      <c r="N312" s="5"/>
      <c r="O312" s="5"/>
      <c r="P312" s="5"/>
      <c r="Q312" s="5"/>
      <c r="R312" s="5"/>
      <c r="S312" s="5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</row>
    <row r="313">
      <c r="A313" s="31"/>
      <c r="B313" s="304"/>
      <c r="C313" s="5"/>
      <c r="D313" s="5"/>
      <c r="E313" s="4"/>
      <c r="F313" s="4"/>
      <c r="G313" s="4"/>
      <c r="H313" s="4"/>
      <c r="I313" s="5"/>
      <c r="J313" s="4"/>
      <c r="K313" s="4"/>
      <c r="L313" s="4"/>
      <c r="M313" s="4"/>
      <c r="N313" s="5"/>
      <c r="O313" s="5"/>
      <c r="P313" s="5"/>
      <c r="Q313" s="5"/>
      <c r="R313" s="5"/>
      <c r="S313" s="5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</row>
    <row r="314">
      <c r="A314" s="31"/>
      <c r="B314" s="304"/>
      <c r="C314" s="5"/>
      <c r="D314" s="5"/>
      <c r="E314" s="4"/>
      <c r="F314" s="4"/>
      <c r="G314" s="4"/>
      <c r="H314" s="4"/>
      <c r="I314" s="5"/>
      <c r="J314" s="4"/>
      <c r="K314" s="4"/>
      <c r="L314" s="4"/>
      <c r="M314" s="4"/>
      <c r="N314" s="5"/>
      <c r="O314" s="5"/>
      <c r="P314" s="5"/>
      <c r="Q314" s="5"/>
      <c r="R314" s="5"/>
      <c r="S314" s="5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</row>
    <row r="315">
      <c r="A315" s="31"/>
      <c r="B315" s="304"/>
      <c r="C315" s="5"/>
      <c r="D315" s="5"/>
      <c r="E315" s="4"/>
      <c r="F315" s="4"/>
      <c r="G315" s="4"/>
      <c r="H315" s="4"/>
      <c r="I315" s="5"/>
      <c r="J315" s="4"/>
      <c r="K315" s="4"/>
      <c r="L315" s="4"/>
      <c r="M315" s="4"/>
      <c r="N315" s="5"/>
      <c r="O315" s="5"/>
      <c r="P315" s="5"/>
      <c r="Q315" s="5"/>
      <c r="R315" s="5"/>
      <c r="S315" s="5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</row>
    <row r="316">
      <c r="A316" s="31"/>
      <c r="B316" s="304"/>
      <c r="C316" s="5"/>
      <c r="D316" s="5"/>
      <c r="E316" s="4"/>
      <c r="F316" s="4"/>
      <c r="G316" s="4"/>
      <c r="H316" s="4"/>
      <c r="I316" s="5"/>
      <c r="J316" s="4"/>
      <c r="K316" s="4"/>
      <c r="L316" s="4"/>
      <c r="M316" s="4"/>
      <c r="N316" s="5"/>
      <c r="O316" s="5"/>
      <c r="P316" s="5"/>
      <c r="Q316" s="5"/>
      <c r="R316" s="5"/>
      <c r="S316" s="5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</row>
    <row r="317">
      <c r="A317" s="31"/>
      <c r="B317" s="304"/>
      <c r="C317" s="5"/>
      <c r="D317" s="5"/>
      <c r="E317" s="4"/>
      <c r="F317" s="4"/>
      <c r="G317" s="4"/>
      <c r="H317" s="4"/>
      <c r="I317" s="5"/>
      <c r="J317" s="4"/>
      <c r="K317" s="4"/>
      <c r="L317" s="4"/>
      <c r="M317" s="4"/>
      <c r="N317" s="5"/>
      <c r="O317" s="5"/>
      <c r="P317" s="5"/>
      <c r="Q317" s="5"/>
      <c r="R317" s="5"/>
      <c r="S317" s="5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</row>
    <row r="318">
      <c r="A318" s="31"/>
      <c r="B318" s="304"/>
      <c r="C318" s="5"/>
      <c r="D318" s="5"/>
      <c r="E318" s="4"/>
      <c r="F318" s="4"/>
      <c r="G318" s="4"/>
      <c r="H318" s="4"/>
      <c r="I318" s="5"/>
      <c r="J318" s="4"/>
      <c r="K318" s="4"/>
      <c r="L318" s="4"/>
      <c r="M318" s="4"/>
      <c r="N318" s="5"/>
      <c r="O318" s="5"/>
      <c r="P318" s="5"/>
      <c r="Q318" s="5"/>
      <c r="R318" s="5"/>
      <c r="S318" s="5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</row>
    <row r="319">
      <c r="A319" s="31"/>
      <c r="B319" s="304"/>
      <c r="C319" s="5"/>
      <c r="D319" s="5"/>
      <c r="E319" s="4"/>
      <c r="F319" s="4"/>
      <c r="G319" s="4"/>
      <c r="H319" s="4"/>
      <c r="I319" s="5"/>
      <c r="J319" s="4"/>
      <c r="K319" s="4"/>
      <c r="L319" s="4"/>
      <c r="M319" s="4"/>
      <c r="N319" s="5"/>
      <c r="O319" s="5"/>
      <c r="P319" s="5"/>
      <c r="Q319" s="5"/>
      <c r="R319" s="5"/>
      <c r="S319" s="5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</row>
    <row r="320">
      <c r="A320" s="31"/>
      <c r="B320" s="304"/>
      <c r="C320" s="5"/>
      <c r="D320" s="5"/>
      <c r="E320" s="4"/>
      <c r="F320" s="4"/>
      <c r="G320" s="4"/>
      <c r="H320" s="4"/>
      <c r="I320" s="5"/>
      <c r="J320" s="4"/>
      <c r="K320" s="4"/>
      <c r="L320" s="4"/>
      <c r="M320" s="4"/>
      <c r="N320" s="5"/>
      <c r="O320" s="5"/>
      <c r="P320" s="5"/>
      <c r="Q320" s="5"/>
      <c r="R320" s="5"/>
      <c r="S320" s="5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</row>
    <row r="321">
      <c r="A321" s="31"/>
      <c r="B321" s="304"/>
      <c r="C321" s="5"/>
      <c r="D321" s="5"/>
      <c r="E321" s="4"/>
      <c r="F321" s="4"/>
      <c r="G321" s="4"/>
      <c r="H321" s="4"/>
      <c r="I321" s="5"/>
      <c r="J321" s="4"/>
      <c r="K321" s="4"/>
      <c r="L321" s="4"/>
      <c r="M321" s="4"/>
      <c r="N321" s="5"/>
      <c r="O321" s="5"/>
      <c r="P321" s="5"/>
      <c r="Q321" s="5"/>
      <c r="R321" s="5"/>
      <c r="S321" s="5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</row>
    <row r="322">
      <c r="A322" s="31"/>
      <c r="B322" s="304"/>
      <c r="C322" s="5"/>
      <c r="D322" s="5"/>
      <c r="E322" s="4"/>
      <c r="F322" s="4"/>
      <c r="G322" s="4"/>
      <c r="H322" s="4"/>
      <c r="I322" s="5"/>
      <c r="J322" s="4"/>
      <c r="K322" s="4"/>
      <c r="L322" s="4"/>
      <c r="M322" s="4"/>
      <c r="N322" s="5"/>
      <c r="O322" s="5"/>
      <c r="P322" s="5"/>
      <c r="Q322" s="5"/>
      <c r="R322" s="5"/>
      <c r="S322" s="5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</row>
    <row r="323">
      <c r="A323" s="31"/>
      <c r="B323" s="304"/>
      <c r="C323" s="5"/>
      <c r="D323" s="5"/>
      <c r="E323" s="4"/>
      <c r="F323" s="4"/>
      <c r="G323" s="4"/>
      <c r="H323" s="4"/>
      <c r="I323" s="5"/>
      <c r="J323" s="4"/>
      <c r="K323" s="4"/>
      <c r="L323" s="4"/>
      <c r="M323" s="4"/>
      <c r="N323" s="5"/>
      <c r="O323" s="5"/>
      <c r="P323" s="5"/>
      <c r="Q323" s="5"/>
      <c r="R323" s="5"/>
      <c r="S323" s="5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</row>
    <row r="324">
      <c r="A324" s="31"/>
      <c r="B324" s="304"/>
      <c r="C324" s="5"/>
      <c r="D324" s="5"/>
      <c r="E324" s="4"/>
      <c r="F324" s="4"/>
      <c r="G324" s="4"/>
      <c r="H324" s="4"/>
      <c r="I324" s="5"/>
      <c r="J324" s="4"/>
      <c r="K324" s="4"/>
      <c r="L324" s="4"/>
      <c r="M324" s="4"/>
      <c r="N324" s="5"/>
      <c r="O324" s="5"/>
      <c r="P324" s="5"/>
      <c r="Q324" s="5"/>
      <c r="R324" s="5"/>
      <c r="S324" s="5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</row>
    <row r="325">
      <c r="A325" s="31"/>
      <c r="B325" s="304"/>
      <c r="C325" s="5"/>
      <c r="D325" s="5"/>
      <c r="E325" s="4"/>
      <c r="F325" s="4"/>
      <c r="G325" s="4"/>
      <c r="H325" s="4"/>
      <c r="I325" s="5"/>
      <c r="J325" s="4"/>
      <c r="K325" s="4"/>
      <c r="L325" s="4"/>
      <c r="M325" s="4"/>
      <c r="N325" s="5"/>
      <c r="O325" s="5"/>
      <c r="P325" s="5"/>
      <c r="Q325" s="5"/>
      <c r="R325" s="5"/>
      <c r="S325" s="5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</row>
    <row r="326">
      <c r="A326" s="31"/>
      <c r="B326" s="304"/>
      <c r="C326" s="5"/>
      <c r="D326" s="5"/>
      <c r="E326" s="4"/>
      <c r="F326" s="4"/>
      <c r="G326" s="4"/>
      <c r="H326" s="4"/>
      <c r="I326" s="5"/>
      <c r="J326" s="4"/>
      <c r="K326" s="4"/>
      <c r="L326" s="4"/>
      <c r="M326" s="4"/>
      <c r="N326" s="5"/>
      <c r="O326" s="5"/>
      <c r="P326" s="5"/>
      <c r="Q326" s="5"/>
      <c r="R326" s="5"/>
      <c r="S326" s="5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</row>
    <row r="327">
      <c r="A327" s="31"/>
      <c r="B327" s="304"/>
      <c r="C327" s="5"/>
      <c r="D327" s="5"/>
      <c r="E327" s="4"/>
      <c r="F327" s="4"/>
      <c r="G327" s="4"/>
      <c r="H327" s="4"/>
      <c r="I327" s="5"/>
      <c r="J327" s="4"/>
      <c r="K327" s="4"/>
      <c r="L327" s="4"/>
      <c r="M327" s="4"/>
      <c r="N327" s="5"/>
      <c r="O327" s="5"/>
      <c r="P327" s="5"/>
      <c r="Q327" s="5"/>
      <c r="R327" s="5"/>
      <c r="S327" s="5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</row>
    <row r="328">
      <c r="A328" s="31"/>
      <c r="B328" s="304"/>
      <c r="C328" s="5"/>
      <c r="D328" s="5"/>
      <c r="E328" s="4"/>
      <c r="F328" s="4"/>
      <c r="G328" s="4"/>
      <c r="H328" s="4"/>
      <c r="I328" s="5"/>
      <c r="J328" s="4"/>
      <c r="K328" s="4"/>
      <c r="L328" s="4"/>
      <c r="M328" s="4"/>
      <c r="N328" s="5"/>
      <c r="O328" s="5"/>
      <c r="P328" s="5"/>
      <c r="Q328" s="5"/>
      <c r="R328" s="5"/>
      <c r="S328" s="5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</row>
    <row r="329">
      <c r="A329" s="31"/>
      <c r="B329" s="304"/>
      <c r="C329" s="5"/>
      <c r="D329" s="5"/>
      <c r="E329" s="4"/>
      <c r="F329" s="4"/>
      <c r="G329" s="4"/>
      <c r="H329" s="4"/>
      <c r="I329" s="5"/>
      <c r="J329" s="4"/>
      <c r="K329" s="4"/>
      <c r="L329" s="4"/>
      <c r="M329" s="4"/>
      <c r="N329" s="5"/>
      <c r="O329" s="5"/>
      <c r="P329" s="5"/>
      <c r="Q329" s="5"/>
      <c r="R329" s="5"/>
      <c r="S329" s="5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</row>
    <row r="330">
      <c r="A330" s="31"/>
      <c r="B330" s="304"/>
      <c r="C330" s="5"/>
      <c r="D330" s="5"/>
      <c r="E330" s="4"/>
      <c r="F330" s="4"/>
      <c r="G330" s="4"/>
      <c r="H330" s="4"/>
      <c r="I330" s="5"/>
      <c r="J330" s="4"/>
      <c r="K330" s="4"/>
      <c r="L330" s="4"/>
      <c r="M330" s="4"/>
      <c r="N330" s="5"/>
      <c r="O330" s="5"/>
      <c r="P330" s="5"/>
      <c r="Q330" s="5"/>
      <c r="R330" s="5"/>
      <c r="S330" s="5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</row>
    <row r="331">
      <c r="A331" s="31"/>
      <c r="B331" s="304"/>
      <c r="C331" s="5"/>
      <c r="D331" s="5"/>
      <c r="E331" s="4"/>
      <c r="F331" s="4"/>
      <c r="G331" s="4"/>
      <c r="H331" s="4"/>
      <c r="I331" s="5"/>
      <c r="J331" s="4"/>
      <c r="K331" s="4"/>
      <c r="L331" s="4"/>
      <c r="M331" s="4"/>
      <c r="N331" s="5"/>
      <c r="O331" s="5"/>
      <c r="P331" s="5"/>
      <c r="Q331" s="5"/>
      <c r="R331" s="5"/>
      <c r="S331" s="5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</row>
    <row r="332">
      <c r="A332" s="31"/>
      <c r="B332" s="304"/>
      <c r="C332" s="5"/>
      <c r="D332" s="5"/>
      <c r="E332" s="4"/>
      <c r="F332" s="4"/>
      <c r="G332" s="4"/>
      <c r="H332" s="4"/>
      <c r="I332" s="5"/>
      <c r="J332" s="4"/>
      <c r="K332" s="4"/>
      <c r="L332" s="4"/>
      <c r="M332" s="4"/>
      <c r="N332" s="5"/>
      <c r="O332" s="5"/>
      <c r="P332" s="5"/>
      <c r="Q332" s="5"/>
      <c r="R332" s="5"/>
      <c r="S332" s="5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</row>
    <row r="333">
      <c r="A333" s="31"/>
      <c r="B333" s="304"/>
      <c r="C333" s="5"/>
      <c r="D333" s="5"/>
      <c r="E333" s="4"/>
      <c r="F333" s="4"/>
      <c r="G333" s="4"/>
      <c r="H333" s="4"/>
      <c r="I333" s="5"/>
      <c r="J333" s="4"/>
      <c r="K333" s="4"/>
      <c r="L333" s="4"/>
      <c r="M333" s="4"/>
      <c r="N333" s="5"/>
      <c r="O333" s="5"/>
      <c r="P333" s="5"/>
      <c r="Q333" s="5"/>
      <c r="R333" s="5"/>
      <c r="S333" s="5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</row>
    <row r="334">
      <c r="A334" s="31"/>
      <c r="B334" s="304"/>
      <c r="C334" s="5"/>
      <c r="D334" s="5"/>
      <c r="E334" s="4"/>
      <c r="F334" s="4"/>
      <c r="G334" s="4"/>
      <c r="H334" s="4"/>
      <c r="I334" s="5"/>
      <c r="J334" s="4"/>
      <c r="K334" s="4"/>
      <c r="L334" s="4"/>
      <c r="M334" s="4"/>
      <c r="N334" s="5"/>
      <c r="O334" s="5"/>
      <c r="P334" s="5"/>
      <c r="Q334" s="5"/>
      <c r="R334" s="5"/>
      <c r="S334" s="5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</row>
    <row r="335">
      <c r="A335" s="31"/>
      <c r="B335" s="304"/>
      <c r="C335" s="5"/>
      <c r="D335" s="5"/>
      <c r="E335" s="4"/>
      <c r="F335" s="4"/>
      <c r="G335" s="4"/>
      <c r="H335" s="4"/>
      <c r="I335" s="5"/>
      <c r="J335" s="4"/>
      <c r="K335" s="4"/>
      <c r="L335" s="4"/>
      <c r="M335" s="4"/>
      <c r="N335" s="5"/>
      <c r="O335" s="5"/>
      <c r="P335" s="5"/>
      <c r="Q335" s="5"/>
      <c r="R335" s="5"/>
      <c r="S335" s="5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</row>
    <row r="336">
      <c r="A336" s="31"/>
      <c r="B336" s="304"/>
      <c r="C336" s="5"/>
      <c r="D336" s="5"/>
      <c r="E336" s="4"/>
      <c r="F336" s="4"/>
      <c r="G336" s="4"/>
      <c r="H336" s="4"/>
      <c r="I336" s="5"/>
      <c r="J336" s="4"/>
      <c r="K336" s="4"/>
      <c r="L336" s="4"/>
      <c r="M336" s="4"/>
      <c r="N336" s="5"/>
      <c r="O336" s="5"/>
      <c r="P336" s="5"/>
      <c r="Q336" s="5"/>
      <c r="R336" s="5"/>
      <c r="S336" s="5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</row>
    <row r="337">
      <c r="A337" s="31"/>
      <c r="B337" s="304"/>
      <c r="C337" s="5"/>
      <c r="D337" s="5"/>
      <c r="E337" s="4"/>
      <c r="F337" s="4"/>
      <c r="G337" s="4"/>
      <c r="H337" s="4"/>
      <c r="I337" s="5"/>
      <c r="J337" s="4"/>
      <c r="K337" s="4"/>
      <c r="L337" s="4"/>
      <c r="M337" s="4"/>
      <c r="N337" s="5"/>
      <c r="O337" s="5"/>
      <c r="P337" s="5"/>
      <c r="Q337" s="5"/>
      <c r="R337" s="5"/>
      <c r="S337" s="5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</row>
    <row r="338">
      <c r="A338" s="31"/>
      <c r="B338" s="304"/>
      <c r="C338" s="5"/>
      <c r="D338" s="5"/>
      <c r="E338" s="4"/>
      <c r="F338" s="4"/>
      <c r="G338" s="4"/>
      <c r="H338" s="4"/>
      <c r="I338" s="5"/>
      <c r="J338" s="4"/>
      <c r="K338" s="4"/>
      <c r="L338" s="4"/>
      <c r="M338" s="4"/>
      <c r="N338" s="5"/>
      <c r="O338" s="5"/>
      <c r="P338" s="5"/>
      <c r="Q338" s="5"/>
      <c r="R338" s="5"/>
      <c r="S338" s="5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</row>
    <row r="339">
      <c r="A339" s="31"/>
      <c r="B339" s="304"/>
      <c r="C339" s="5"/>
      <c r="D339" s="5"/>
      <c r="E339" s="4"/>
      <c r="F339" s="4"/>
      <c r="G339" s="4"/>
      <c r="H339" s="4"/>
      <c r="I339" s="5"/>
      <c r="J339" s="4"/>
      <c r="K339" s="4"/>
      <c r="L339" s="4"/>
      <c r="M339" s="4"/>
      <c r="N339" s="5"/>
      <c r="O339" s="5"/>
      <c r="P339" s="5"/>
      <c r="Q339" s="5"/>
      <c r="R339" s="5"/>
      <c r="S339" s="5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</row>
    <row r="340">
      <c r="A340" s="31"/>
      <c r="B340" s="304"/>
      <c r="C340" s="5"/>
      <c r="D340" s="5"/>
      <c r="E340" s="4"/>
      <c r="F340" s="4"/>
      <c r="G340" s="4"/>
      <c r="H340" s="4"/>
      <c r="I340" s="5"/>
      <c r="J340" s="4"/>
      <c r="K340" s="4"/>
      <c r="L340" s="4"/>
      <c r="M340" s="4"/>
      <c r="N340" s="5"/>
      <c r="O340" s="5"/>
      <c r="P340" s="5"/>
      <c r="Q340" s="5"/>
      <c r="R340" s="5"/>
      <c r="S340" s="5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</row>
    <row r="341">
      <c r="A341" s="31"/>
      <c r="B341" s="304"/>
      <c r="C341" s="5"/>
      <c r="D341" s="5"/>
      <c r="E341" s="4"/>
      <c r="F341" s="4"/>
      <c r="G341" s="4"/>
      <c r="H341" s="4"/>
      <c r="I341" s="5"/>
      <c r="J341" s="4"/>
      <c r="K341" s="4"/>
      <c r="L341" s="4"/>
      <c r="M341" s="4"/>
      <c r="N341" s="5"/>
      <c r="O341" s="5"/>
      <c r="P341" s="5"/>
      <c r="Q341" s="5"/>
      <c r="R341" s="5"/>
      <c r="S341" s="5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</row>
    <row r="342">
      <c r="A342" s="31"/>
      <c r="B342" s="304"/>
      <c r="C342" s="5"/>
      <c r="D342" s="5"/>
      <c r="E342" s="4"/>
      <c r="F342" s="4"/>
      <c r="G342" s="4"/>
      <c r="H342" s="4"/>
      <c r="I342" s="5"/>
      <c r="J342" s="4"/>
      <c r="K342" s="4"/>
      <c r="L342" s="4"/>
      <c r="M342" s="4"/>
      <c r="N342" s="5"/>
      <c r="O342" s="5"/>
      <c r="P342" s="5"/>
      <c r="Q342" s="5"/>
      <c r="R342" s="5"/>
      <c r="S342" s="5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</row>
    <row r="343">
      <c r="A343" s="31"/>
      <c r="B343" s="304"/>
      <c r="C343" s="5"/>
      <c r="D343" s="5"/>
      <c r="E343" s="4"/>
      <c r="F343" s="4"/>
      <c r="G343" s="4"/>
      <c r="H343" s="4"/>
      <c r="I343" s="5"/>
      <c r="J343" s="4"/>
      <c r="K343" s="4"/>
      <c r="L343" s="4"/>
      <c r="M343" s="4"/>
      <c r="N343" s="5"/>
      <c r="O343" s="5"/>
      <c r="P343" s="5"/>
      <c r="Q343" s="5"/>
      <c r="R343" s="5"/>
      <c r="S343" s="5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</row>
    <row r="344">
      <c r="A344" s="31"/>
      <c r="B344" s="304"/>
      <c r="C344" s="5"/>
      <c r="D344" s="5"/>
      <c r="E344" s="4"/>
      <c r="F344" s="4"/>
      <c r="G344" s="4"/>
      <c r="H344" s="4"/>
      <c r="I344" s="5"/>
      <c r="J344" s="4"/>
      <c r="K344" s="4"/>
      <c r="L344" s="4"/>
      <c r="M344" s="4"/>
      <c r="N344" s="5"/>
      <c r="O344" s="5"/>
      <c r="P344" s="5"/>
      <c r="Q344" s="5"/>
      <c r="R344" s="5"/>
      <c r="S344" s="5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</row>
    <row r="345">
      <c r="A345" s="31"/>
      <c r="B345" s="304"/>
      <c r="C345" s="5"/>
      <c r="D345" s="5"/>
      <c r="E345" s="4"/>
      <c r="F345" s="4"/>
      <c r="G345" s="4"/>
      <c r="H345" s="4"/>
      <c r="I345" s="5"/>
      <c r="J345" s="4"/>
      <c r="K345" s="4"/>
      <c r="L345" s="4"/>
      <c r="M345" s="4"/>
      <c r="N345" s="5"/>
      <c r="O345" s="5"/>
      <c r="P345" s="5"/>
      <c r="Q345" s="5"/>
      <c r="R345" s="5"/>
      <c r="S345" s="5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</row>
    <row r="346">
      <c r="A346" s="31"/>
      <c r="B346" s="304"/>
      <c r="C346" s="5"/>
      <c r="D346" s="5"/>
      <c r="E346" s="4"/>
      <c r="F346" s="4"/>
      <c r="G346" s="4"/>
      <c r="H346" s="4"/>
      <c r="I346" s="5"/>
      <c r="J346" s="4"/>
      <c r="K346" s="4"/>
      <c r="L346" s="4"/>
      <c r="M346" s="4"/>
      <c r="N346" s="5"/>
      <c r="O346" s="5"/>
      <c r="P346" s="5"/>
      <c r="Q346" s="5"/>
      <c r="R346" s="5"/>
      <c r="S346" s="5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</row>
    <row r="347">
      <c r="A347" s="31"/>
      <c r="B347" s="304"/>
      <c r="C347" s="5"/>
      <c r="D347" s="5"/>
      <c r="E347" s="4"/>
      <c r="F347" s="4"/>
      <c r="G347" s="4"/>
      <c r="H347" s="4"/>
      <c r="I347" s="5"/>
      <c r="J347" s="4"/>
      <c r="K347" s="4"/>
      <c r="L347" s="4"/>
      <c r="M347" s="4"/>
      <c r="N347" s="5"/>
      <c r="O347" s="5"/>
      <c r="P347" s="5"/>
      <c r="Q347" s="5"/>
      <c r="R347" s="5"/>
      <c r="S347" s="5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</row>
    <row r="348">
      <c r="A348" s="31"/>
      <c r="B348" s="304"/>
      <c r="C348" s="5"/>
      <c r="D348" s="5"/>
      <c r="E348" s="4"/>
      <c r="F348" s="4"/>
      <c r="G348" s="4"/>
      <c r="H348" s="4"/>
      <c r="I348" s="5"/>
      <c r="J348" s="4"/>
      <c r="K348" s="4"/>
      <c r="L348" s="4"/>
      <c r="M348" s="4"/>
      <c r="N348" s="5"/>
      <c r="O348" s="5"/>
      <c r="P348" s="5"/>
      <c r="Q348" s="5"/>
      <c r="R348" s="5"/>
      <c r="S348" s="5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</row>
    <row r="349">
      <c r="A349" s="31"/>
      <c r="B349" s="304"/>
      <c r="C349" s="5"/>
      <c r="D349" s="5"/>
      <c r="E349" s="4"/>
      <c r="F349" s="4"/>
      <c r="G349" s="4"/>
      <c r="H349" s="4"/>
      <c r="I349" s="5"/>
      <c r="J349" s="4"/>
      <c r="K349" s="4"/>
      <c r="L349" s="4"/>
      <c r="M349" s="4"/>
      <c r="N349" s="5"/>
      <c r="O349" s="5"/>
      <c r="P349" s="5"/>
      <c r="Q349" s="5"/>
      <c r="R349" s="5"/>
      <c r="S349" s="5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</row>
    <row r="350">
      <c r="A350" s="31"/>
      <c r="B350" s="304"/>
      <c r="C350" s="5"/>
      <c r="D350" s="5"/>
      <c r="E350" s="4"/>
      <c r="F350" s="4"/>
      <c r="G350" s="4"/>
      <c r="H350" s="4"/>
      <c r="I350" s="5"/>
      <c r="J350" s="4"/>
      <c r="K350" s="4"/>
      <c r="L350" s="4"/>
      <c r="M350" s="4"/>
      <c r="N350" s="5"/>
      <c r="O350" s="5"/>
      <c r="P350" s="5"/>
      <c r="Q350" s="5"/>
      <c r="R350" s="5"/>
      <c r="S350" s="5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</row>
    <row r="351">
      <c r="A351" s="31"/>
      <c r="B351" s="304"/>
      <c r="C351" s="5"/>
      <c r="D351" s="5"/>
      <c r="E351" s="4"/>
      <c r="F351" s="4"/>
      <c r="G351" s="4"/>
      <c r="H351" s="4"/>
      <c r="I351" s="5"/>
      <c r="J351" s="4"/>
      <c r="K351" s="4"/>
      <c r="L351" s="4"/>
      <c r="M351" s="4"/>
      <c r="N351" s="5"/>
      <c r="O351" s="5"/>
      <c r="P351" s="5"/>
      <c r="Q351" s="5"/>
      <c r="R351" s="5"/>
      <c r="S351" s="5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</row>
    <row r="352">
      <c r="A352" s="31"/>
      <c r="B352" s="304"/>
      <c r="C352" s="5"/>
      <c r="D352" s="5"/>
      <c r="E352" s="4"/>
      <c r="F352" s="4"/>
      <c r="G352" s="4"/>
      <c r="H352" s="4"/>
      <c r="I352" s="5"/>
      <c r="J352" s="4"/>
      <c r="K352" s="4"/>
      <c r="L352" s="4"/>
      <c r="M352" s="4"/>
      <c r="N352" s="5"/>
      <c r="O352" s="5"/>
      <c r="P352" s="5"/>
      <c r="Q352" s="5"/>
      <c r="R352" s="5"/>
      <c r="S352" s="5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</row>
    <row r="353">
      <c r="A353" s="31"/>
      <c r="B353" s="304"/>
      <c r="C353" s="5"/>
      <c r="D353" s="5"/>
      <c r="E353" s="4"/>
      <c r="F353" s="4"/>
      <c r="G353" s="4"/>
      <c r="H353" s="4"/>
      <c r="I353" s="5"/>
      <c r="J353" s="4"/>
      <c r="K353" s="4"/>
      <c r="L353" s="4"/>
      <c r="M353" s="4"/>
      <c r="N353" s="5"/>
      <c r="O353" s="5"/>
      <c r="P353" s="5"/>
      <c r="Q353" s="5"/>
      <c r="R353" s="5"/>
      <c r="S353" s="5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</row>
    <row r="354">
      <c r="A354" s="31"/>
      <c r="B354" s="304"/>
      <c r="C354" s="5"/>
      <c r="D354" s="5"/>
      <c r="E354" s="4"/>
      <c r="F354" s="4"/>
      <c r="G354" s="4"/>
      <c r="H354" s="4"/>
      <c r="I354" s="5"/>
      <c r="J354" s="4"/>
      <c r="K354" s="4"/>
      <c r="L354" s="4"/>
      <c r="M354" s="4"/>
      <c r="N354" s="5"/>
      <c r="O354" s="5"/>
      <c r="P354" s="5"/>
      <c r="Q354" s="5"/>
      <c r="R354" s="5"/>
      <c r="S354" s="5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</row>
    <row r="355">
      <c r="A355" s="31"/>
      <c r="B355" s="304"/>
      <c r="C355" s="5"/>
      <c r="D355" s="5"/>
      <c r="E355" s="4"/>
      <c r="F355" s="4"/>
      <c r="G355" s="4"/>
      <c r="H355" s="4"/>
      <c r="I355" s="5"/>
      <c r="J355" s="4"/>
      <c r="K355" s="4"/>
      <c r="L355" s="4"/>
      <c r="M355" s="4"/>
      <c r="N355" s="5"/>
      <c r="O355" s="5"/>
      <c r="P355" s="5"/>
      <c r="Q355" s="5"/>
      <c r="R355" s="5"/>
      <c r="S355" s="5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</row>
    <row r="356">
      <c r="A356" s="31"/>
      <c r="B356" s="304"/>
      <c r="C356" s="5"/>
      <c r="D356" s="5"/>
      <c r="E356" s="4"/>
      <c r="F356" s="4"/>
      <c r="G356" s="4"/>
      <c r="H356" s="4"/>
      <c r="I356" s="5"/>
      <c r="J356" s="4"/>
      <c r="K356" s="4"/>
      <c r="L356" s="4"/>
      <c r="M356" s="4"/>
      <c r="N356" s="5"/>
      <c r="O356" s="5"/>
      <c r="P356" s="5"/>
      <c r="Q356" s="5"/>
      <c r="R356" s="5"/>
      <c r="S356" s="5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</row>
    <row r="357">
      <c r="A357" s="31"/>
      <c r="B357" s="304"/>
      <c r="C357" s="5"/>
      <c r="D357" s="5"/>
      <c r="E357" s="4"/>
      <c r="F357" s="4"/>
      <c r="G357" s="4"/>
      <c r="H357" s="4"/>
      <c r="I357" s="5"/>
      <c r="J357" s="4"/>
      <c r="K357" s="4"/>
      <c r="L357" s="4"/>
      <c r="M357" s="4"/>
      <c r="N357" s="5"/>
      <c r="O357" s="5"/>
      <c r="P357" s="5"/>
      <c r="Q357" s="5"/>
      <c r="R357" s="5"/>
      <c r="S357" s="5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</row>
    <row r="358">
      <c r="A358" s="31"/>
      <c r="B358" s="304"/>
      <c r="C358" s="5"/>
      <c r="D358" s="5"/>
      <c r="E358" s="4"/>
      <c r="F358" s="4"/>
      <c r="G358" s="4"/>
      <c r="H358" s="4"/>
      <c r="I358" s="5"/>
      <c r="J358" s="4"/>
      <c r="K358" s="4"/>
      <c r="L358" s="4"/>
      <c r="M358" s="4"/>
      <c r="N358" s="5"/>
      <c r="O358" s="5"/>
      <c r="P358" s="5"/>
      <c r="Q358" s="5"/>
      <c r="R358" s="5"/>
      <c r="S358" s="5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</row>
    <row r="359">
      <c r="A359" s="31"/>
      <c r="B359" s="304"/>
      <c r="C359" s="5"/>
      <c r="D359" s="5"/>
      <c r="E359" s="4"/>
      <c r="F359" s="4"/>
      <c r="G359" s="4"/>
      <c r="H359" s="4"/>
      <c r="I359" s="5"/>
      <c r="J359" s="4"/>
      <c r="K359" s="4"/>
      <c r="L359" s="4"/>
      <c r="M359" s="4"/>
      <c r="N359" s="5"/>
      <c r="O359" s="5"/>
      <c r="P359" s="5"/>
      <c r="Q359" s="5"/>
      <c r="R359" s="5"/>
      <c r="S359" s="5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</row>
    <row r="360">
      <c r="A360" s="31"/>
      <c r="B360" s="304"/>
      <c r="C360" s="5"/>
      <c r="D360" s="5"/>
      <c r="E360" s="4"/>
      <c r="F360" s="4"/>
      <c r="G360" s="4"/>
      <c r="H360" s="4"/>
      <c r="I360" s="5"/>
      <c r="J360" s="4"/>
      <c r="K360" s="4"/>
      <c r="L360" s="4"/>
      <c r="M360" s="4"/>
      <c r="N360" s="5"/>
      <c r="O360" s="5"/>
      <c r="P360" s="5"/>
      <c r="Q360" s="5"/>
      <c r="R360" s="5"/>
      <c r="S360" s="5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</row>
    <row r="361">
      <c r="A361" s="31"/>
      <c r="B361" s="304"/>
      <c r="C361" s="5"/>
      <c r="D361" s="5"/>
      <c r="E361" s="4"/>
      <c r="F361" s="4"/>
      <c r="G361" s="4"/>
      <c r="H361" s="4"/>
      <c r="I361" s="5"/>
      <c r="J361" s="4"/>
      <c r="K361" s="4"/>
      <c r="L361" s="4"/>
      <c r="M361" s="4"/>
      <c r="N361" s="5"/>
      <c r="O361" s="5"/>
      <c r="P361" s="5"/>
      <c r="Q361" s="5"/>
      <c r="R361" s="5"/>
      <c r="S361" s="5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</row>
    <row r="362">
      <c r="A362" s="31"/>
      <c r="B362" s="304"/>
      <c r="C362" s="5"/>
      <c r="D362" s="5"/>
      <c r="E362" s="4"/>
      <c r="F362" s="4"/>
      <c r="G362" s="4"/>
      <c r="H362" s="4"/>
      <c r="I362" s="5"/>
      <c r="J362" s="4"/>
      <c r="K362" s="4"/>
      <c r="L362" s="4"/>
      <c r="M362" s="4"/>
      <c r="N362" s="5"/>
      <c r="O362" s="5"/>
      <c r="P362" s="5"/>
      <c r="Q362" s="5"/>
      <c r="R362" s="5"/>
      <c r="S362" s="5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</row>
    <row r="363">
      <c r="A363" s="31"/>
      <c r="B363" s="304"/>
      <c r="C363" s="5"/>
      <c r="D363" s="5"/>
      <c r="E363" s="4"/>
      <c r="F363" s="4"/>
      <c r="G363" s="4"/>
      <c r="H363" s="4"/>
      <c r="I363" s="5"/>
      <c r="J363" s="4"/>
      <c r="K363" s="4"/>
      <c r="L363" s="4"/>
      <c r="M363" s="4"/>
      <c r="N363" s="5"/>
      <c r="O363" s="5"/>
      <c r="P363" s="5"/>
      <c r="Q363" s="5"/>
      <c r="R363" s="5"/>
      <c r="S363" s="5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</row>
    <row r="364">
      <c r="A364" s="31"/>
      <c r="B364" s="304"/>
      <c r="C364" s="5"/>
      <c r="D364" s="5"/>
      <c r="E364" s="4"/>
      <c r="F364" s="4"/>
      <c r="G364" s="4"/>
      <c r="H364" s="4"/>
      <c r="I364" s="5"/>
      <c r="J364" s="4"/>
      <c r="K364" s="4"/>
      <c r="L364" s="4"/>
      <c r="M364" s="4"/>
      <c r="N364" s="5"/>
      <c r="O364" s="5"/>
      <c r="P364" s="5"/>
      <c r="Q364" s="5"/>
      <c r="R364" s="5"/>
      <c r="S364" s="5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</row>
    <row r="365">
      <c r="A365" s="31"/>
      <c r="B365" s="304"/>
      <c r="C365" s="5"/>
      <c r="D365" s="5"/>
      <c r="E365" s="4"/>
      <c r="F365" s="4"/>
      <c r="G365" s="4"/>
      <c r="H365" s="4"/>
      <c r="I365" s="5"/>
      <c r="J365" s="4"/>
      <c r="K365" s="4"/>
      <c r="L365" s="4"/>
      <c r="M365" s="4"/>
      <c r="N365" s="5"/>
      <c r="O365" s="5"/>
      <c r="P365" s="5"/>
      <c r="Q365" s="5"/>
      <c r="R365" s="5"/>
      <c r="S365" s="5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</row>
    <row r="366">
      <c r="A366" s="31"/>
      <c r="B366" s="304"/>
      <c r="C366" s="5"/>
      <c r="D366" s="5"/>
      <c r="E366" s="4"/>
      <c r="F366" s="4"/>
      <c r="G366" s="4"/>
      <c r="H366" s="4"/>
      <c r="I366" s="5"/>
      <c r="J366" s="4"/>
      <c r="K366" s="4"/>
      <c r="L366" s="4"/>
      <c r="M366" s="4"/>
      <c r="N366" s="5"/>
      <c r="O366" s="5"/>
      <c r="P366" s="5"/>
      <c r="Q366" s="5"/>
      <c r="R366" s="5"/>
      <c r="S366" s="5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</row>
    <row r="367">
      <c r="A367" s="31"/>
      <c r="B367" s="304"/>
      <c r="C367" s="5"/>
      <c r="D367" s="5"/>
      <c r="E367" s="4"/>
      <c r="F367" s="4"/>
      <c r="G367" s="4"/>
      <c r="H367" s="4"/>
      <c r="I367" s="5"/>
      <c r="J367" s="4"/>
      <c r="K367" s="4"/>
      <c r="L367" s="4"/>
      <c r="M367" s="4"/>
      <c r="N367" s="5"/>
      <c r="O367" s="5"/>
      <c r="P367" s="5"/>
      <c r="Q367" s="5"/>
      <c r="R367" s="5"/>
      <c r="S367" s="5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</row>
    <row r="368">
      <c r="A368" s="31"/>
      <c r="B368" s="304"/>
      <c r="C368" s="5"/>
      <c r="D368" s="5"/>
      <c r="E368" s="4"/>
      <c r="F368" s="4"/>
      <c r="G368" s="4"/>
      <c r="H368" s="4"/>
      <c r="I368" s="5"/>
      <c r="J368" s="4"/>
      <c r="K368" s="4"/>
      <c r="L368" s="4"/>
      <c r="M368" s="4"/>
      <c r="N368" s="5"/>
      <c r="O368" s="5"/>
      <c r="P368" s="5"/>
      <c r="Q368" s="5"/>
      <c r="R368" s="5"/>
      <c r="S368" s="5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</row>
    <row r="369">
      <c r="A369" s="31"/>
      <c r="B369" s="304"/>
      <c r="C369" s="5"/>
      <c r="D369" s="5"/>
      <c r="E369" s="4"/>
      <c r="F369" s="4"/>
      <c r="G369" s="4"/>
      <c r="H369" s="4"/>
      <c r="I369" s="5"/>
      <c r="J369" s="4"/>
      <c r="K369" s="4"/>
      <c r="L369" s="4"/>
      <c r="M369" s="4"/>
      <c r="N369" s="5"/>
      <c r="O369" s="5"/>
      <c r="P369" s="5"/>
      <c r="Q369" s="5"/>
      <c r="R369" s="5"/>
      <c r="S369" s="5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</row>
    <row r="370">
      <c r="A370" s="31"/>
      <c r="B370" s="304"/>
      <c r="C370" s="5"/>
      <c r="D370" s="5"/>
      <c r="E370" s="4"/>
      <c r="F370" s="4"/>
      <c r="G370" s="4"/>
      <c r="H370" s="4"/>
      <c r="I370" s="5"/>
      <c r="J370" s="4"/>
      <c r="K370" s="4"/>
      <c r="L370" s="4"/>
      <c r="M370" s="4"/>
      <c r="N370" s="5"/>
      <c r="O370" s="5"/>
      <c r="P370" s="5"/>
      <c r="Q370" s="5"/>
      <c r="R370" s="5"/>
      <c r="S370" s="5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</row>
    <row r="371">
      <c r="A371" s="31"/>
      <c r="B371" s="304"/>
      <c r="C371" s="5"/>
      <c r="D371" s="5"/>
      <c r="E371" s="4"/>
      <c r="F371" s="4"/>
      <c r="G371" s="4"/>
      <c r="H371" s="4"/>
      <c r="I371" s="5"/>
      <c r="J371" s="4"/>
      <c r="K371" s="4"/>
      <c r="L371" s="4"/>
      <c r="M371" s="4"/>
      <c r="N371" s="5"/>
      <c r="O371" s="5"/>
      <c r="P371" s="5"/>
      <c r="Q371" s="5"/>
      <c r="R371" s="5"/>
      <c r="S371" s="5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</row>
    <row r="372">
      <c r="A372" s="31"/>
      <c r="B372" s="304"/>
      <c r="C372" s="5"/>
      <c r="D372" s="5"/>
      <c r="E372" s="4"/>
      <c r="F372" s="4"/>
      <c r="G372" s="4"/>
      <c r="H372" s="4"/>
      <c r="I372" s="5"/>
      <c r="J372" s="4"/>
      <c r="K372" s="4"/>
      <c r="L372" s="4"/>
      <c r="M372" s="4"/>
      <c r="N372" s="5"/>
      <c r="O372" s="5"/>
      <c r="P372" s="5"/>
      <c r="Q372" s="5"/>
      <c r="R372" s="5"/>
      <c r="S372" s="5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</row>
    <row r="373">
      <c r="A373" s="31"/>
      <c r="B373" s="304"/>
      <c r="C373" s="5"/>
      <c r="D373" s="5"/>
      <c r="E373" s="4"/>
      <c r="F373" s="4"/>
      <c r="G373" s="4"/>
      <c r="H373" s="4"/>
      <c r="I373" s="5"/>
      <c r="J373" s="4"/>
      <c r="K373" s="4"/>
      <c r="L373" s="4"/>
      <c r="M373" s="4"/>
      <c r="N373" s="5"/>
      <c r="O373" s="5"/>
      <c r="P373" s="5"/>
      <c r="Q373" s="5"/>
      <c r="R373" s="5"/>
      <c r="S373" s="5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</row>
    <row r="374">
      <c r="A374" s="31"/>
      <c r="B374" s="304"/>
      <c r="C374" s="5"/>
      <c r="D374" s="5"/>
      <c r="E374" s="4"/>
      <c r="F374" s="4"/>
      <c r="G374" s="4"/>
      <c r="H374" s="4"/>
      <c r="I374" s="5"/>
      <c r="J374" s="4"/>
      <c r="K374" s="4"/>
      <c r="L374" s="4"/>
      <c r="M374" s="4"/>
      <c r="N374" s="5"/>
      <c r="O374" s="5"/>
      <c r="P374" s="5"/>
      <c r="Q374" s="5"/>
      <c r="R374" s="5"/>
      <c r="S374" s="5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</row>
    <row r="375">
      <c r="A375" s="31"/>
      <c r="B375" s="304"/>
      <c r="C375" s="5"/>
      <c r="D375" s="5"/>
      <c r="E375" s="4"/>
      <c r="F375" s="4"/>
      <c r="G375" s="4"/>
      <c r="H375" s="4"/>
      <c r="I375" s="5"/>
      <c r="J375" s="4"/>
      <c r="K375" s="4"/>
      <c r="L375" s="4"/>
      <c r="M375" s="4"/>
      <c r="N375" s="5"/>
      <c r="O375" s="5"/>
      <c r="P375" s="5"/>
      <c r="Q375" s="5"/>
      <c r="R375" s="5"/>
      <c r="S375" s="5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</row>
    <row r="376">
      <c r="A376" s="31"/>
      <c r="B376" s="304"/>
      <c r="C376" s="5"/>
      <c r="D376" s="5"/>
      <c r="E376" s="4"/>
      <c r="F376" s="4"/>
      <c r="G376" s="4"/>
      <c r="H376" s="4"/>
      <c r="I376" s="5"/>
      <c r="J376" s="4"/>
      <c r="K376" s="4"/>
      <c r="L376" s="4"/>
      <c r="M376" s="4"/>
      <c r="N376" s="5"/>
      <c r="O376" s="5"/>
      <c r="P376" s="5"/>
      <c r="Q376" s="5"/>
      <c r="R376" s="5"/>
      <c r="S376" s="5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</row>
    <row r="377">
      <c r="A377" s="31"/>
      <c r="B377" s="304"/>
      <c r="C377" s="5"/>
      <c r="D377" s="5"/>
      <c r="E377" s="4"/>
      <c r="F377" s="4"/>
      <c r="G377" s="4"/>
      <c r="H377" s="4"/>
      <c r="I377" s="5"/>
      <c r="J377" s="4"/>
      <c r="K377" s="4"/>
      <c r="L377" s="4"/>
      <c r="M377" s="4"/>
      <c r="N377" s="5"/>
      <c r="O377" s="5"/>
      <c r="P377" s="5"/>
      <c r="Q377" s="5"/>
      <c r="R377" s="5"/>
      <c r="S377" s="5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</row>
    <row r="378">
      <c r="A378" s="31"/>
      <c r="B378" s="304"/>
      <c r="C378" s="5"/>
      <c r="D378" s="5"/>
      <c r="E378" s="4"/>
      <c r="F378" s="4"/>
      <c r="G378" s="4"/>
      <c r="H378" s="4"/>
      <c r="I378" s="5"/>
      <c r="J378" s="4"/>
      <c r="K378" s="4"/>
      <c r="L378" s="4"/>
      <c r="M378" s="4"/>
      <c r="N378" s="5"/>
      <c r="O378" s="5"/>
      <c r="P378" s="5"/>
      <c r="Q378" s="5"/>
      <c r="R378" s="5"/>
      <c r="S378" s="5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</row>
    <row r="379">
      <c r="A379" s="31"/>
      <c r="B379" s="304"/>
      <c r="C379" s="5"/>
      <c r="D379" s="5"/>
      <c r="E379" s="4"/>
      <c r="F379" s="4"/>
      <c r="G379" s="4"/>
      <c r="H379" s="4"/>
      <c r="I379" s="5"/>
      <c r="J379" s="4"/>
      <c r="K379" s="4"/>
      <c r="L379" s="4"/>
      <c r="M379" s="4"/>
      <c r="N379" s="5"/>
      <c r="O379" s="5"/>
      <c r="P379" s="5"/>
      <c r="Q379" s="5"/>
      <c r="R379" s="5"/>
      <c r="S379" s="5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</row>
    <row r="380">
      <c r="A380" s="31"/>
      <c r="B380" s="304"/>
      <c r="C380" s="5"/>
      <c r="D380" s="5"/>
      <c r="E380" s="4"/>
      <c r="F380" s="4"/>
      <c r="G380" s="4"/>
      <c r="H380" s="4"/>
      <c r="I380" s="5"/>
      <c r="J380" s="4"/>
      <c r="K380" s="4"/>
      <c r="L380" s="4"/>
      <c r="M380" s="4"/>
      <c r="N380" s="5"/>
      <c r="O380" s="5"/>
      <c r="P380" s="5"/>
      <c r="Q380" s="5"/>
      <c r="R380" s="5"/>
      <c r="S380" s="5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</row>
    <row r="381">
      <c r="A381" s="31"/>
      <c r="B381" s="304"/>
      <c r="C381" s="5"/>
      <c r="D381" s="5"/>
      <c r="E381" s="4"/>
      <c r="F381" s="4"/>
      <c r="G381" s="4"/>
      <c r="H381" s="4"/>
      <c r="I381" s="5"/>
      <c r="J381" s="4"/>
      <c r="K381" s="4"/>
      <c r="L381" s="4"/>
      <c r="M381" s="4"/>
      <c r="N381" s="5"/>
      <c r="O381" s="5"/>
      <c r="P381" s="5"/>
      <c r="Q381" s="5"/>
      <c r="R381" s="5"/>
      <c r="S381" s="5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</row>
    <row r="382">
      <c r="A382" s="31"/>
      <c r="B382" s="304"/>
      <c r="C382" s="5"/>
      <c r="D382" s="5"/>
      <c r="E382" s="4"/>
      <c r="F382" s="4"/>
      <c r="G382" s="4"/>
      <c r="H382" s="4"/>
      <c r="I382" s="5"/>
      <c r="J382" s="4"/>
      <c r="K382" s="4"/>
      <c r="L382" s="4"/>
      <c r="M382" s="4"/>
      <c r="N382" s="5"/>
      <c r="O382" s="5"/>
      <c r="P382" s="5"/>
      <c r="Q382" s="5"/>
      <c r="R382" s="5"/>
      <c r="S382" s="5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</row>
    <row r="383">
      <c r="A383" s="31"/>
      <c r="B383" s="304"/>
      <c r="C383" s="5"/>
      <c r="D383" s="5"/>
      <c r="E383" s="4"/>
      <c r="F383" s="4"/>
      <c r="G383" s="4"/>
      <c r="H383" s="4"/>
      <c r="I383" s="5"/>
      <c r="J383" s="4"/>
      <c r="K383" s="4"/>
      <c r="L383" s="4"/>
      <c r="M383" s="4"/>
      <c r="N383" s="5"/>
      <c r="O383" s="5"/>
      <c r="P383" s="5"/>
      <c r="Q383" s="5"/>
      <c r="R383" s="5"/>
      <c r="S383" s="5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</row>
    <row r="384">
      <c r="A384" s="31"/>
      <c r="B384" s="304"/>
      <c r="C384" s="5"/>
      <c r="D384" s="5"/>
      <c r="E384" s="4"/>
      <c r="F384" s="4"/>
      <c r="G384" s="4"/>
      <c r="H384" s="4"/>
      <c r="I384" s="5"/>
      <c r="J384" s="4"/>
      <c r="K384" s="4"/>
      <c r="L384" s="4"/>
      <c r="M384" s="4"/>
      <c r="N384" s="5"/>
      <c r="O384" s="5"/>
      <c r="P384" s="5"/>
      <c r="Q384" s="5"/>
      <c r="R384" s="5"/>
      <c r="S384" s="5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</row>
    <row r="385">
      <c r="A385" s="31"/>
      <c r="B385" s="304"/>
      <c r="C385" s="5"/>
      <c r="D385" s="5"/>
      <c r="E385" s="4"/>
      <c r="F385" s="4"/>
      <c r="G385" s="4"/>
      <c r="H385" s="4"/>
      <c r="I385" s="5"/>
      <c r="J385" s="4"/>
      <c r="K385" s="4"/>
      <c r="L385" s="4"/>
      <c r="M385" s="4"/>
      <c r="N385" s="5"/>
      <c r="O385" s="5"/>
      <c r="P385" s="5"/>
      <c r="Q385" s="5"/>
      <c r="R385" s="5"/>
      <c r="S385" s="5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</row>
    <row r="386">
      <c r="A386" s="31"/>
      <c r="B386" s="304"/>
      <c r="C386" s="5"/>
      <c r="D386" s="5"/>
      <c r="E386" s="4"/>
      <c r="F386" s="4"/>
      <c r="G386" s="4"/>
      <c r="H386" s="4"/>
      <c r="I386" s="5"/>
      <c r="J386" s="4"/>
      <c r="K386" s="4"/>
      <c r="L386" s="4"/>
      <c r="M386" s="4"/>
      <c r="N386" s="5"/>
      <c r="O386" s="5"/>
      <c r="P386" s="5"/>
      <c r="Q386" s="5"/>
      <c r="R386" s="5"/>
      <c r="S386" s="5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</row>
    <row r="387">
      <c r="A387" s="31"/>
      <c r="B387" s="304"/>
      <c r="C387" s="5"/>
      <c r="D387" s="5"/>
      <c r="E387" s="4"/>
      <c r="F387" s="4"/>
      <c r="G387" s="4"/>
      <c r="H387" s="4"/>
      <c r="I387" s="5"/>
      <c r="J387" s="4"/>
      <c r="K387" s="4"/>
      <c r="L387" s="4"/>
      <c r="M387" s="4"/>
      <c r="N387" s="5"/>
      <c r="O387" s="5"/>
      <c r="P387" s="5"/>
      <c r="Q387" s="5"/>
      <c r="R387" s="5"/>
      <c r="S387" s="5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</row>
    <row r="388">
      <c r="A388" s="31"/>
      <c r="B388" s="304"/>
      <c r="C388" s="5"/>
      <c r="D388" s="5"/>
      <c r="E388" s="4"/>
      <c r="F388" s="4"/>
      <c r="G388" s="4"/>
      <c r="H388" s="4"/>
      <c r="I388" s="5"/>
      <c r="J388" s="4"/>
      <c r="K388" s="4"/>
      <c r="L388" s="4"/>
      <c r="M388" s="4"/>
      <c r="N388" s="5"/>
      <c r="O388" s="5"/>
      <c r="P388" s="5"/>
      <c r="Q388" s="5"/>
      <c r="R388" s="5"/>
      <c r="S388" s="5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</row>
    <row r="389">
      <c r="A389" s="31"/>
      <c r="B389" s="304"/>
      <c r="C389" s="5"/>
      <c r="D389" s="5"/>
      <c r="E389" s="4"/>
      <c r="F389" s="4"/>
      <c r="G389" s="4"/>
      <c r="H389" s="4"/>
      <c r="I389" s="5"/>
      <c r="J389" s="4"/>
      <c r="K389" s="4"/>
      <c r="L389" s="4"/>
      <c r="M389" s="4"/>
      <c r="N389" s="5"/>
      <c r="O389" s="5"/>
      <c r="P389" s="5"/>
      <c r="Q389" s="5"/>
      <c r="R389" s="5"/>
      <c r="S389" s="5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</row>
    <row r="390">
      <c r="A390" s="31"/>
      <c r="B390" s="304"/>
      <c r="C390" s="5"/>
      <c r="D390" s="5"/>
      <c r="E390" s="4"/>
      <c r="F390" s="4"/>
      <c r="G390" s="4"/>
      <c r="H390" s="4"/>
      <c r="I390" s="5"/>
      <c r="J390" s="4"/>
      <c r="K390" s="4"/>
      <c r="L390" s="4"/>
      <c r="M390" s="4"/>
      <c r="N390" s="5"/>
      <c r="O390" s="5"/>
      <c r="P390" s="5"/>
      <c r="Q390" s="5"/>
      <c r="R390" s="5"/>
      <c r="S390" s="5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</row>
    <row r="391">
      <c r="A391" s="31"/>
      <c r="B391" s="304"/>
      <c r="C391" s="5"/>
      <c r="D391" s="5"/>
      <c r="E391" s="4"/>
      <c r="F391" s="4"/>
      <c r="G391" s="4"/>
      <c r="H391" s="4"/>
      <c r="I391" s="5"/>
      <c r="J391" s="4"/>
      <c r="K391" s="4"/>
      <c r="L391" s="4"/>
      <c r="M391" s="4"/>
      <c r="N391" s="5"/>
      <c r="O391" s="5"/>
      <c r="P391" s="5"/>
      <c r="Q391" s="5"/>
      <c r="R391" s="5"/>
      <c r="S391" s="5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</row>
    <row r="392">
      <c r="A392" s="31"/>
      <c r="B392" s="304"/>
      <c r="C392" s="5"/>
      <c r="D392" s="5"/>
      <c r="E392" s="4"/>
      <c r="F392" s="4"/>
      <c r="G392" s="4"/>
      <c r="H392" s="4"/>
      <c r="I392" s="5"/>
      <c r="J392" s="4"/>
      <c r="K392" s="4"/>
      <c r="L392" s="4"/>
      <c r="M392" s="4"/>
      <c r="N392" s="5"/>
      <c r="O392" s="5"/>
      <c r="P392" s="5"/>
      <c r="Q392" s="5"/>
      <c r="R392" s="5"/>
      <c r="S392" s="5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</row>
    <row r="393">
      <c r="A393" s="31"/>
      <c r="B393" s="304"/>
      <c r="C393" s="5"/>
      <c r="D393" s="5"/>
      <c r="E393" s="4"/>
      <c r="F393" s="4"/>
      <c r="G393" s="4"/>
      <c r="H393" s="4"/>
      <c r="I393" s="5"/>
      <c r="J393" s="4"/>
      <c r="K393" s="4"/>
      <c r="L393" s="4"/>
      <c r="M393" s="4"/>
      <c r="N393" s="5"/>
      <c r="O393" s="5"/>
      <c r="P393" s="5"/>
      <c r="Q393" s="5"/>
      <c r="R393" s="5"/>
      <c r="S393" s="5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</row>
    <row r="394">
      <c r="A394" s="31"/>
      <c r="B394" s="304"/>
      <c r="C394" s="5"/>
      <c r="D394" s="5"/>
      <c r="E394" s="4"/>
      <c r="F394" s="4"/>
      <c r="G394" s="4"/>
      <c r="H394" s="4"/>
      <c r="I394" s="5"/>
      <c r="J394" s="4"/>
      <c r="K394" s="4"/>
      <c r="L394" s="4"/>
      <c r="M394" s="4"/>
      <c r="N394" s="5"/>
      <c r="O394" s="5"/>
      <c r="P394" s="5"/>
      <c r="Q394" s="5"/>
      <c r="R394" s="5"/>
      <c r="S394" s="5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</row>
    <row r="395">
      <c r="A395" s="31"/>
      <c r="B395" s="304"/>
      <c r="C395" s="5"/>
      <c r="D395" s="5"/>
      <c r="E395" s="4"/>
      <c r="F395" s="4"/>
      <c r="G395" s="4"/>
      <c r="H395" s="4"/>
      <c r="I395" s="5"/>
      <c r="J395" s="4"/>
      <c r="K395" s="4"/>
      <c r="L395" s="4"/>
      <c r="M395" s="4"/>
      <c r="N395" s="5"/>
      <c r="O395" s="5"/>
      <c r="P395" s="5"/>
      <c r="Q395" s="5"/>
      <c r="R395" s="5"/>
      <c r="S395" s="5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</row>
    <row r="396">
      <c r="A396" s="31"/>
      <c r="B396" s="304"/>
      <c r="C396" s="5"/>
      <c r="D396" s="5"/>
      <c r="E396" s="4"/>
      <c r="F396" s="4"/>
      <c r="G396" s="4"/>
      <c r="H396" s="4"/>
      <c r="I396" s="5"/>
      <c r="J396" s="4"/>
      <c r="K396" s="4"/>
      <c r="L396" s="4"/>
      <c r="M396" s="4"/>
      <c r="N396" s="5"/>
      <c r="O396" s="5"/>
      <c r="P396" s="5"/>
      <c r="Q396" s="5"/>
      <c r="R396" s="5"/>
      <c r="S396" s="5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</row>
    <row r="397">
      <c r="A397" s="31"/>
      <c r="B397" s="304"/>
      <c r="C397" s="5"/>
      <c r="D397" s="5"/>
      <c r="E397" s="4"/>
      <c r="F397" s="4"/>
      <c r="G397" s="4"/>
      <c r="H397" s="4"/>
      <c r="I397" s="5"/>
      <c r="J397" s="4"/>
      <c r="K397" s="4"/>
      <c r="L397" s="4"/>
      <c r="M397" s="4"/>
      <c r="N397" s="5"/>
      <c r="O397" s="5"/>
      <c r="P397" s="5"/>
      <c r="Q397" s="5"/>
      <c r="R397" s="5"/>
      <c r="S397" s="5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</row>
    <row r="398">
      <c r="A398" s="31"/>
      <c r="B398" s="304"/>
      <c r="C398" s="5"/>
      <c r="D398" s="5"/>
      <c r="E398" s="4"/>
      <c r="F398" s="4"/>
      <c r="G398" s="4"/>
      <c r="H398" s="4"/>
      <c r="I398" s="5"/>
      <c r="J398" s="4"/>
      <c r="K398" s="4"/>
      <c r="L398" s="4"/>
      <c r="M398" s="4"/>
      <c r="N398" s="5"/>
      <c r="O398" s="5"/>
      <c r="P398" s="5"/>
      <c r="Q398" s="5"/>
      <c r="R398" s="5"/>
      <c r="S398" s="5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</row>
    <row r="399">
      <c r="A399" s="31"/>
      <c r="B399" s="304"/>
      <c r="C399" s="5"/>
      <c r="D399" s="5"/>
      <c r="E399" s="4"/>
      <c r="F399" s="4"/>
      <c r="G399" s="4"/>
      <c r="H399" s="4"/>
      <c r="I399" s="5"/>
      <c r="J399" s="4"/>
      <c r="K399" s="4"/>
      <c r="L399" s="4"/>
      <c r="M399" s="4"/>
      <c r="N399" s="5"/>
      <c r="O399" s="5"/>
      <c r="P399" s="5"/>
      <c r="Q399" s="5"/>
      <c r="R399" s="5"/>
      <c r="S399" s="5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</row>
    <row r="400">
      <c r="A400" s="31"/>
      <c r="B400" s="304"/>
      <c r="C400" s="5"/>
      <c r="D400" s="5"/>
      <c r="E400" s="4"/>
      <c r="F400" s="4"/>
      <c r="G400" s="4"/>
      <c r="H400" s="4"/>
      <c r="I400" s="5"/>
      <c r="J400" s="4"/>
      <c r="K400" s="4"/>
      <c r="L400" s="4"/>
      <c r="M400" s="4"/>
      <c r="N400" s="5"/>
      <c r="O400" s="5"/>
      <c r="P400" s="5"/>
      <c r="Q400" s="5"/>
      <c r="R400" s="5"/>
      <c r="S400" s="5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</row>
    <row r="401">
      <c r="A401" s="31"/>
      <c r="B401" s="304"/>
      <c r="C401" s="5"/>
      <c r="D401" s="5"/>
      <c r="E401" s="4"/>
      <c r="F401" s="4"/>
      <c r="G401" s="4"/>
      <c r="H401" s="4"/>
      <c r="I401" s="5"/>
      <c r="J401" s="4"/>
      <c r="K401" s="4"/>
      <c r="L401" s="4"/>
      <c r="M401" s="4"/>
      <c r="N401" s="5"/>
      <c r="O401" s="5"/>
      <c r="P401" s="5"/>
      <c r="Q401" s="5"/>
      <c r="R401" s="5"/>
      <c r="S401" s="5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</row>
    <row r="402">
      <c r="A402" s="31"/>
      <c r="B402" s="304"/>
      <c r="C402" s="5"/>
      <c r="D402" s="5"/>
      <c r="E402" s="4"/>
      <c r="F402" s="4"/>
      <c r="G402" s="4"/>
      <c r="H402" s="4"/>
      <c r="I402" s="5"/>
      <c r="J402" s="4"/>
      <c r="K402" s="4"/>
      <c r="L402" s="4"/>
      <c r="M402" s="4"/>
      <c r="N402" s="5"/>
      <c r="O402" s="5"/>
      <c r="P402" s="5"/>
      <c r="Q402" s="5"/>
      <c r="R402" s="5"/>
      <c r="S402" s="5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</row>
    <row r="403">
      <c r="A403" s="31"/>
      <c r="B403" s="304"/>
      <c r="C403" s="5"/>
      <c r="D403" s="5"/>
      <c r="E403" s="4"/>
      <c r="F403" s="4"/>
      <c r="G403" s="4"/>
      <c r="H403" s="4"/>
      <c r="I403" s="5"/>
      <c r="J403" s="4"/>
      <c r="K403" s="4"/>
      <c r="L403" s="4"/>
      <c r="M403" s="4"/>
      <c r="N403" s="5"/>
      <c r="O403" s="5"/>
      <c r="P403" s="5"/>
      <c r="Q403" s="5"/>
      <c r="R403" s="5"/>
      <c r="S403" s="5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</row>
    <row r="404">
      <c r="A404" s="31"/>
      <c r="B404" s="304"/>
      <c r="C404" s="5"/>
      <c r="D404" s="5"/>
      <c r="E404" s="4"/>
      <c r="F404" s="4"/>
      <c r="G404" s="4"/>
      <c r="H404" s="4"/>
      <c r="I404" s="5"/>
      <c r="J404" s="4"/>
      <c r="K404" s="4"/>
      <c r="L404" s="4"/>
      <c r="M404" s="4"/>
      <c r="N404" s="5"/>
      <c r="O404" s="5"/>
      <c r="P404" s="5"/>
      <c r="Q404" s="5"/>
      <c r="R404" s="5"/>
      <c r="S404" s="5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</row>
    <row r="405">
      <c r="A405" s="31"/>
      <c r="B405" s="304"/>
      <c r="C405" s="5"/>
      <c r="D405" s="5"/>
      <c r="E405" s="4"/>
      <c r="F405" s="4"/>
      <c r="G405" s="4"/>
      <c r="H405" s="4"/>
      <c r="I405" s="5"/>
      <c r="J405" s="4"/>
      <c r="K405" s="4"/>
      <c r="L405" s="4"/>
      <c r="M405" s="4"/>
      <c r="N405" s="5"/>
      <c r="O405" s="5"/>
      <c r="P405" s="5"/>
      <c r="Q405" s="5"/>
      <c r="R405" s="5"/>
      <c r="S405" s="5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</row>
    <row r="406">
      <c r="A406" s="31"/>
      <c r="B406" s="304"/>
      <c r="C406" s="5"/>
      <c r="D406" s="5"/>
      <c r="E406" s="4"/>
      <c r="F406" s="4"/>
      <c r="G406" s="4"/>
      <c r="H406" s="4"/>
      <c r="I406" s="5"/>
      <c r="J406" s="4"/>
      <c r="K406" s="4"/>
      <c r="L406" s="4"/>
      <c r="M406" s="4"/>
      <c r="N406" s="5"/>
      <c r="O406" s="5"/>
      <c r="P406" s="5"/>
      <c r="Q406" s="5"/>
      <c r="R406" s="5"/>
      <c r="S406" s="5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</row>
    <row r="407">
      <c r="A407" s="31"/>
      <c r="B407" s="304"/>
      <c r="C407" s="5"/>
      <c r="D407" s="5"/>
      <c r="E407" s="4"/>
      <c r="F407" s="4"/>
      <c r="G407" s="4"/>
      <c r="H407" s="4"/>
      <c r="I407" s="5"/>
      <c r="J407" s="4"/>
      <c r="K407" s="4"/>
      <c r="L407" s="4"/>
      <c r="M407" s="4"/>
      <c r="N407" s="5"/>
      <c r="O407" s="5"/>
      <c r="P407" s="5"/>
      <c r="Q407" s="5"/>
      <c r="R407" s="5"/>
      <c r="S407" s="5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</row>
    <row r="408">
      <c r="A408" s="31"/>
      <c r="B408" s="304"/>
      <c r="C408" s="5"/>
      <c r="D408" s="5"/>
      <c r="E408" s="4"/>
      <c r="F408" s="4"/>
      <c r="G408" s="4"/>
      <c r="H408" s="4"/>
      <c r="I408" s="5"/>
      <c r="J408" s="4"/>
      <c r="K408" s="4"/>
      <c r="L408" s="4"/>
      <c r="M408" s="4"/>
      <c r="N408" s="5"/>
      <c r="O408" s="5"/>
      <c r="P408" s="5"/>
      <c r="Q408" s="5"/>
      <c r="R408" s="5"/>
      <c r="S408" s="5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</row>
    <row r="409">
      <c r="A409" s="31"/>
      <c r="B409" s="304"/>
      <c r="C409" s="5"/>
      <c r="D409" s="5"/>
      <c r="E409" s="4"/>
      <c r="F409" s="4"/>
      <c r="G409" s="4"/>
      <c r="H409" s="4"/>
      <c r="I409" s="5"/>
      <c r="J409" s="4"/>
      <c r="K409" s="4"/>
      <c r="L409" s="4"/>
      <c r="M409" s="4"/>
      <c r="N409" s="5"/>
      <c r="O409" s="5"/>
      <c r="P409" s="5"/>
      <c r="Q409" s="5"/>
      <c r="R409" s="5"/>
      <c r="S409" s="5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</row>
    <row r="410">
      <c r="A410" s="31"/>
      <c r="B410" s="304"/>
      <c r="C410" s="5"/>
      <c r="D410" s="5"/>
      <c r="E410" s="4"/>
      <c r="F410" s="4"/>
      <c r="G410" s="4"/>
      <c r="H410" s="4"/>
      <c r="I410" s="5"/>
      <c r="J410" s="4"/>
      <c r="K410" s="4"/>
      <c r="L410" s="4"/>
      <c r="M410" s="4"/>
      <c r="N410" s="5"/>
      <c r="O410" s="5"/>
      <c r="P410" s="5"/>
      <c r="Q410" s="5"/>
      <c r="R410" s="5"/>
      <c r="S410" s="5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</row>
    <row r="411">
      <c r="A411" s="31"/>
      <c r="B411" s="304"/>
      <c r="C411" s="5"/>
      <c r="D411" s="5"/>
      <c r="E411" s="4"/>
      <c r="F411" s="4"/>
      <c r="G411" s="4"/>
      <c r="H411" s="4"/>
      <c r="I411" s="5"/>
      <c r="J411" s="4"/>
      <c r="K411" s="4"/>
      <c r="L411" s="4"/>
      <c r="M411" s="4"/>
      <c r="N411" s="5"/>
      <c r="O411" s="5"/>
      <c r="P411" s="5"/>
      <c r="Q411" s="5"/>
      <c r="R411" s="5"/>
      <c r="S411" s="5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</row>
    <row r="412">
      <c r="A412" s="31"/>
      <c r="B412" s="304"/>
      <c r="C412" s="5"/>
      <c r="D412" s="5"/>
      <c r="E412" s="4"/>
      <c r="F412" s="4"/>
      <c r="G412" s="4"/>
      <c r="H412" s="4"/>
      <c r="I412" s="5"/>
      <c r="J412" s="4"/>
      <c r="K412" s="4"/>
      <c r="L412" s="4"/>
      <c r="M412" s="4"/>
      <c r="N412" s="5"/>
      <c r="O412" s="5"/>
      <c r="P412" s="5"/>
      <c r="Q412" s="5"/>
      <c r="R412" s="5"/>
      <c r="S412" s="5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</row>
    <row r="413">
      <c r="A413" s="31"/>
      <c r="B413" s="304"/>
      <c r="C413" s="5"/>
      <c r="D413" s="5"/>
      <c r="E413" s="4"/>
      <c r="F413" s="4"/>
      <c r="G413" s="4"/>
      <c r="H413" s="4"/>
      <c r="I413" s="5"/>
      <c r="J413" s="4"/>
      <c r="K413" s="4"/>
      <c r="L413" s="4"/>
      <c r="M413" s="4"/>
      <c r="N413" s="5"/>
      <c r="O413" s="5"/>
      <c r="P413" s="5"/>
      <c r="Q413" s="5"/>
      <c r="R413" s="5"/>
      <c r="S413" s="5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</row>
    <row r="414">
      <c r="A414" s="31"/>
      <c r="B414" s="304"/>
      <c r="C414" s="5"/>
      <c r="D414" s="5"/>
      <c r="E414" s="4"/>
      <c r="F414" s="4"/>
      <c r="G414" s="4"/>
      <c r="H414" s="4"/>
      <c r="I414" s="5"/>
      <c r="J414" s="4"/>
      <c r="K414" s="4"/>
      <c r="L414" s="4"/>
      <c r="M414" s="4"/>
      <c r="N414" s="5"/>
      <c r="O414" s="5"/>
      <c r="P414" s="5"/>
      <c r="Q414" s="5"/>
      <c r="R414" s="5"/>
      <c r="S414" s="5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</row>
    <row r="415">
      <c r="A415" s="31"/>
      <c r="B415" s="304"/>
      <c r="C415" s="5"/>
      <c r="D415" s="5"/>
      <c r="E415" s="4"/>
      <c r="F415" s="4"/>
      <c r="G415" s="4"/>
      <c r="H415" s="4"/>
      <c r="I415" s="5"/>
      <c r="J415" s="4"/>
      <c r="K415" s="4"/>
      <c r="L415" s="4"/>
      <c r="M415" s="4"/>
      <c r="N415" s="5"/>
      <c r="O415" s="5"/>
      <c r="P415" s="5"/>
      <c r="Q415" s="5"/>
      <c r="R415" s="5"/>
      <c r="S415" s="5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</row>
    <row r="416">
      <c r="A416" s="31"/>
      <c r="B416" s="304"/>
      <c r="C416" s="5"/>
      <c r="D416" s="5"/>
      <c r="E416" s="4"/>
      <c r="F416" s="4"/>
      <c r="G416" s="4"/>
      <c r="H416" s="4"/>
      <c r="I416" s="5"/>
      <c r="J416" s="4"/>
      <c r="K416" s="4"/>
      <c r="L416" s="4"/>
      <c r="M416" s="4"/>
      <c r="N416" s="5"/>
      <c r="O416" s="5"/>
      <c r="P416" s="5"/>
      <c r="Q416" s="5"/>
      <c r="R416" s="5"/>
      <c r="S416" s="5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</row>
    <row r="417">
      <c r="A417" s="31"/>
      <c r="B417" s="304"/>
      <c r="C417" s="5"/>
      <c r="D417" s="5"/>
      <c r="E417" s="4"/>
      <c r="F417" s="4"/>
      <c r="G417" s="4"/>
      <c r="H417" s="4"/>
      <c r="I417" s="5"/>
      <c r="J417" s="4"/>
      <c r="K417" s="4"/>
      <c r="L417" s="4"/>
      <c r="M417" s="4"/>
      <c r="N417" s="5"/>
      <c r="O417" s="5"/>
      <c r="P417" s="5"/>
      <c r="Q417" s="5"/>
      <c r="R417" s="5"/>
      <c r="S417" s="5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</row>
    <row r="418">
      <c r="A418" s="31"/>
      <c r="B418" s="304"/>
      <c r="C418" s="5"/>
      <c r="D418" s="5"/>
      <c r="E418" s="4"/>
      <c r="F418" s="4"/>
      <c r="G418" s="4"/>
      <c r="H418" s="4"/>
      <c r="I418" s="5"/>
      <c r="J418" s="4"/>
      <c r="K418" s="4"/>
      <c r="L418" s="4"/>
      <c r="M418" s="4"/>
      <c r="N418" s="5"/>
      <c r="O418" s="5"/>
      <c r="P418" s="5"/>
      <c r="Q418" s="5"/>
      <c r="R418" s="5"/>
      <c r="S418" s="5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</row>
    <row r="419">
      <c r="A419" s="31"/>
      <c r="B419" s="304"/>
      <c r="C419" s="5"/>
      <c r="D419" s="5"/>
      <c r="E419" s="4"/>
      <c r="F419" s="4"/>
      <c r="G419" s="4"/>
      <c r="H419" s="4"/>
      <c r="I419" s="5"/>
      <c r="J419" s="4"/>
      <c r="K419" s="4"/>
      <c r="L419" s="4"/>
      <c r="M419" s="4"/>
      <c r="N419" s="5"/>
      <c r="O419" s="5"/>
      <c r="P419" s="5"/>
      <c r="Q419" s="5"/>
      <c r="R419" s="5"/>
      <c r="S419" s="5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</row>
    <row r="420">
      <c r="A420" s="31"/>
      <c r="B420" s="304"/>
      <c r="C420" s="5"/>
      <c r="D420" s="5"/>
      <c r="E420" s="4"/>
      <c r="F420" s="4"/>
      <c r="G420" s="4"/>
      <c r="H420" s="4"/>
      <c r="I420" s="5"/>
      <c r="J420" s="4"/>
      <c r="K420" s="4"/>
      <c r="L420" s="4"/>
      <c r="M420" s="4"/>
      <c r="N420" s="5"/>
      <c r="O420" s="5"/>
      <c r="P420" s="5"/>
      <c r="Q420" s="5"/>
      <c r="R420" s="5"/>
      <c r="S420" s="5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</row>
    <row r="421">
      <c r="A421" s="31"/>
      <c r="B421" s="304"/>
      <c r="C421" s="5"/>
      <c r="D421" s="5"/>
      <c r="E421" s="4"/>
      <c r="F421" s="4"/>
      <c r="G421" s="4"/>
      <c r="H421" s="4"/>
      <c r="I421" s="5"/>
      <c r="J421" s="4"/>
      <c r="K421" s="4"/>
      <c r="L421" s="4"/>
      <c r="M421" s="4"/>
      <c r="N421" s="5"/>
      <c r="O421" s="5"/>
      <c r="P421" s="5"/>
      <c r="Q421" s="5"/>
      <c r="R421" s="5"/>
      <c r="S421" s="5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</row>
    <row r="422">
      <c r="A422" s="31"/>
      <c r="B422" s="304"/>
      <c r="C422" s="5"/>
      <c r="D422" s="5"/>
      <c r="E422" s="4"/>
      <c r="F422" s="4"/>
      <c r="G422" s="4"/>
      <c r="H422" s="4"/>
      <c r="I422" s="5"/>
      <c r="J422" s="4"/>
      <c r="K422" s="4"/>
      <c r="L422" s="4"/>
      <c r="M422" s="4"/>
      <c r="N422" s="5"/>
      <c r="O422" s="5"/>
      <c r="P422" s="5"/>
      <c r="Q422" s="5"/>
      <c r="R422" s="5"/>
      <c r="S422" s="5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</row>
    <row r="423">
      <c r="A423" s="31"/>
      <c r="B423" s="304"/>
      <c r="C423" s="5"/>
      <c r="D423" s="5"/>
      <c r="E423" s="4"/>
      <c r="F423" s="4"/>
      <c r="G423" s="4"/>
      <c r="H423" s="4"/>
      <c r="I423" s="5"/>
      <c r="J423" s="4"/>
      <c r="K423" s="4"/>
      <c r="L423" s="4"/>
      <c r="M423" s="4"/>
      <c r="N423" s="5"/>
      <c r="O423" s="5"/>
      <c r="P423" s="5"/>
      <c r="Q423" s="5"/>
      <c r="R423" s="5"/>
      <c r="S423" s="5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</row>
    <row r="424">
      <c r="A424" s="31"/>
      <c r="B424" s="304"/>
      <c r="C424" s="5"/>
      <c r="D424" s="5"/>
      <c r="E424" s="4"/>
      <c r="F424" s="4"/>
      <c r="G424" s="4"/>
      <c r="H424" s="4"/>
      <c r="I424" s="5"/>
      <c r="J424" s="4"/>
      <c r="K424" s="4"/>
      <c r="L424" s="4"/>
      <c r="M424" s="4"/>
      <c r="N424" s="5"/>
      <c r="O424" s="5"/>
      <c r="P424" s="5"/>
      <c r="Q424" s="5"/>
      <c r="R424" s="5"/>
      <c r="S424" s="5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</row>
    <row r="425">
      <c r="A425" s="31"/>
      <c r="B425" s="304"/>
      <c r="C425" s="5"/>
      <c r="D425" s="5"/>
      <c r="E425" s="4"/>
      <c r="F425" s="4"/>
      <c r="G425" s="4"/>
      <c r="H425" s="4"/>
      <c r="I425" s="5"/>
      <c r="J425" s="4"/>
      <c r="K425" s="4"/>
      <c r="L425" s="4"/>
      <c r="M425" s="4"/>
      <c r="N425" s="5"/>
      <c r="O425" s="5"/>
      <c r="P425" s="5"/>
      <c r="Q425" s="5"/>
      <c r="R425" s="5"/>
      <c r="S425" s="5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</row>
    <row r="426">
      <c r="A426" s="31"/>
      <c r="B426" s="304"/>
      <c r="C426" s="5"/>
      <c r="D426" s="5"/>
      <c r="E426" s="4"/>
      <c r="F426" s="4"/>
      <c r="G426" s="4"/>
      <c r="H426" s="4"/>
      <c r="I426" s="5"/>
      <c r="J426" s="4"/>
      <c r="K426" s="4"/>
      <c r="L426" s="4"/>
      <c r="M426" s="4"/>
      <c r="N426" s="5"/>
      <c r="O426" s="5"/>
      <c r="P426" s="5"/>
      <c r="Q426" s="5"/>
      <c r="R426" s="5"/>
      <c r="S426" s="5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</row>
    <row r="427">
      <c r="A427" s="31"/>
      <c r="B427" s="304"/>
      <c r="C427" s="5"/>
      <c r="D427" s="5"/>
      <c r="E427" s="4"/>
      <c r="F427" s="4"/>
      <c r="G427" s="4"/>
      <c r="H427" s="4"/>
      <c r="I427" s="5"/>
      <c r="J427" s="4"/>
      <c r="K427" s="4"/>
      <c r="L427" s="4"/>
      <c r="M427" s="4"/>
      <c r="N427" s="5"/>
      <c r="O427" s="5"/>
      <c r="P427" s="5"/>
      <c r="Q427" s="5"/>
      <c r="R427" s="5"/>
      <c r="S427" s="5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</row>
    <row r="428">
      <c r="A428" s="31"/>
      <c r="B428" s="304"/>
      <c r="C428" s="5"/>
      <c r="D428" s="5"/>
      <c r="E428" s="4"/>
      <c r="F428" s="4"/>
      <c r="G428" s="4"/>
      <c r="H428" s="4"/>
      <c r="I428" s="5"/>
      <c r="J428" s="4"/>
      <c r="K428" s="4"/>
      <c r="L428" s="4"/>
      <c r="M428" s="4"/>
      <c r="N428" s="5"/>
      <c r="O428" s="5"/>
      <c r="P428" s="5"/>
      <c r="Q428" s="5"/>
      <c r="R428" s="5"/>
      <c r="S428" s="5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</row>
    <row r="429">
      <c r="A429" s="31"/>
      <c r="B429" s="304"/>
      <c r="C429" s="5"/>
      <c r="D429" s="5"/>
      <c r="E429" s="4"/>
      <c r="F429" s="4"/>
      <c r="G429" s="4"/>
      <c r="H429" s="4"/>
      <c r="I429" s="5"/>
      <c r="J429" s="4"/>
      <c r="K429" s="4"/>
      <c r="L429" s="4"/>
      <c r="M429" s="4"/>
      <c r="N429" s="5"/>
      <c r="O429" s="5"/>
      <c r="P429" s="5"/>
      <c r="Q429" s="5"/>
      <c r="R429" s="5"/>
      <c r="S429" s="5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</row>
    <row r="430">
      <c r="A430" s="31"/>
      <c r="B430" s="304"/>
      <c r="C430" s="5"/>
      <c r="D430" s="5"/>
      <c r="E430" s="4"/>
      <c r="F430" s="4"/>
      <c r="G430" s="4"/>
      <c r="H430" s="4"/>
      <c r="I430" s="5"/>
      <c r="J430" s="4"/>
      <c r="K430" s="4"/>
      <c r="L430" s="4"/>
      <c r="M430" s="4"/>
      <c r="N430" s="5"/>
      <c r="O430" s="5"/>
      <c r="P430" s="5"/>
      <c r="Q430" s="5"/>
      <c r="R430" s="5"/>
      <c r="S430" s="5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</row>
    <row r="431">
      <c r="A431" s="31"/>
      <c r="B431" s="304"/>
      <c r="C431" s="5"/>
      <c r="D431" s="5"/>
      <c r="E431" s="4"/>
      <c r="F431" s="4"/>
      <c r="G431" s="4"/>
      <c r="H431" s="4"/>
      <c r="I431" s="5"/>
      <c r="J431" s="4"/>
      <c r="K431" s="4"/>
      <c r="L431" s="4"/>
      <c r="M431" s="4"/>
      <c r="N431" s="5"/>
      <c r="O431" s="5"/>
      <c r="P431" s="5"/>
      <c r="Q431" s="5"/>
      <c r="R431" s="5"/>
      <c r="S431" s="5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</row>
    <row r="432">
      <c r="A432" s="31"/>
      <c r="B432" s="304"/>
      <c r="C432" s="5"/>
      <c r="D432" s="5"/>
      <c r="E432" s="4"/>
      <c r="F432" s="4"/>
      <c r="G432" s="4"/>
      <c r="H432" s="4"/>
      <c r="I432" s="5"/>
      <c r="J432" s="4"/>
      <c r="K432" s="4"/>
      <c r="L432" s="4"/>
      <c r="M432" s="4"/>
      <c r="N432" s="5"/>
      <c r="O432" s="5"/>
      <c r="P432" s="5"/>
      <c r="Q432" s="5"/>
      <c r="R432" s="5"/>
      <c r="S432" s="5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</row>
    <row r="433">
      <c r="A433" s="31"/>
      <c r="B433" s="304"/>
      <c r="C433" s="5"/>
      <c r="D433" s="5"/>
      <c r="E433" s="4"/>
      <c r="F433" s="4"/>
      <c r="G433" s="4"/>
      <c r="H433" s="4"/>
      <c r="I433" s="5"/>
      <c r="J433" s="4"/>
      <c r="K433" s="4"/>
      <c r="L433" s="4"/>
      <c r="M433" s="4"/>
      <c r="N433" s="5"/>
      <c r="O433" s="5"/>
      <c r="P433" s="5"/>
      <c r="Q433" s="5"/>
      <c r="R433" s="5"/>
      <c r="S433" s="5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</row>
    <row r="434">
      <c r="A434" s="31"/>
      <c r="B434" s="304"/>
      <c r="C434" s="5"/>
      <c r="D434" s="5"/>
      <c r="E434" s="4"/>
      <c r="F434" s="4"/>
      <c r="G434" s="4"/>
      <c r="H434" s="4"/>
      <c r="I434" s="5"/>
      <c r="J434" s="4"/>
      <c r="K434" s="4"/>
      <c r="L434" s="4"/>
      <c r="M434" s="4"/>
      <c r="N434" s="5"/>
      <c r="O434" s="5"/>
      <c r="P434" s="5"/>
      <c r="Q434" s="5"/>
      <c r="R434" s="5"/>
      <c r="S434" s="5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</row>
    <row r="435">
      <c r="A435" s="31"/>
      <c r="B435" s="304"/>
      <c r="C435" s="5"/>
      <c r="D435" s="5"/>
      <c r="E435" s="4"/>
      <c r="F435" s="4"/>
      <c r="G435" s="4"/>
      <c r="H435" s="4"/>
      <c r="I435" s="5"/>
      <c r="J435" s="4"/>
      <c r="K435" s="4"/>
      <c r="L435" s="4"/>
      <c r="M435" s="4"/>
      <c r="N435" s="5"/>
      <c r="O435" s="5"/>
      <c r="P435" s="5"/>
      <c r="Q435" s="5"/>
      <c r="R435" s="5"/>
      <c r="S435" s="5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</row>
    <row r="436">
      <c r="A436" s="31"/>
      <c r="B436" s="304"/>
      <c r="C436" s="5"/>
      <c r="D436" s="5"/>
      <c r="E436" s="4"/>
      <c r="F436" s="4"/>
      <c r="G436" s="4"/>
      <c r="H436" s="4"/>
      <c r="I436" s="5"/>
      <c r="J436" s="4"/>
      <c r="K436" s="4"/>
      <c r="L436" s="4"/>
      <c r="M436" s="4"/>
      <c r="N436" s="5"/>
      <c r="O436" s="5"/>
      <c r="P436" s="5"/>
      <c r="Q436" s="5"/>
      <c r="R436" s="5"/>
      <c r="S436" s="5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</row>
    <row r="437">
      <c r="A437" s="31"/>
      <c r="B437" s="304"/>
      <c r="C437" s="5"/>
      <c r="D437" s="5"/>
      <c r="E437" s="4"/>
      <c r="F437" s="4"/>
      <c r="G437" s="4"/>
      <c r="H437" s="4"/>
      <c r="I437" s="5"/>
      <c r="J437" s="4"/>
      <c r="K437" s="4"/>
      <c r="L437" s="4"/>
      <c r="M437" s="4"/>
      <c r="N437" s="5"/>
      <c r="O437" s="5"/>
      <c r="P437" s="5"/>
      <c r="Q437" s="5"/>
      <c r="R437" s="5"/>
      <c r="S437" s="5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</row>
    <row r="438">
      <c r="A438" s="31"/>
      <c r="B438" s="304"/>
      <c r="C438" s="5"/>
      <c r="D438" s="5"/>
      <c r="E438" s="4"/>
      <c r="F438" s="4"/>
      <c r="G438" s="4"/>
      <c r="H438" s="4"/>
      <c r="I438" s="5"/>
      <c r="J438" s="4"/>
      <c r="K438" s="4"/>
      <c r="L438" s="4"/>
      <c r="M438" s="4"/>
      <c r="N438" s="5"/>
      <c r="O438" s="5"/>
      <c r="P438" s="5"/>
      <c r="Q438" s="5"/>
      <c r="R438" s="5"/>
      <c r="S438" s="5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</row>
    <row r="439">
      <c r="A439" s="31"/>
      <c r="B439" s="304"/>
      <c r="C439" s="5"/>
      <c r="D439" s="5"/>
      <c r="E439" s="4"/>
      <c r="F439" s="4"/>
      <c r="G439" s="4"/>
      <c r="H439" s="4"/>
      <c r="I439" s="5"/>
      <c r="J439" s="4"/>
      <c r="K439" s="4"/>
      <c r="L439" s="4"/>
      <c r="M439" s="4"/>
      <c r="N439" s="5"/>
      <c r="O439" s="5"/>
      <c r="P439" s="5"/>
      <c r="Q439" s="5"/>
      <c r="R439" s="5"/>
      <c r="S439" s="5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</row>
    <row r="440">
      <c r="A440" s="31"/>
      <c r="B440" s="304"/>
      <c r="C440" s="5"/>
      <c r="D440" s="5"/>
      <c r="E440" s="4"/>
      <c r="F440" s="4"/>
      <c r="G440" s="4"/>
      <c r="H440" s="4"/>
      <c r="I440" s="5"/>
      <c r="J440" s="4"/>
      <c r="K440" s="4"/>
      <c r="L440" s="4"/>
      <c r="M440" s="4"/>
      <c r="N440" s="5"/>
      <c r="O440" s="5"/>
      <c r="P440" s="5"/>
      <c r="Q440" s="5"/>
      <c r="R440" s="5"/>
      <c r="S440" s="5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</row>
    <row r="441">
      <c r="A441" s="31"/>
      <c r="B441" s="304"/>
      <c r="C441" s="5"/>
      <c r="D441" s="5"/>
      <c r="E441" s="4"/>
      <c r="F441" s="4"/>
      <c r="G441" s="4"/>
      <c r="H441" s="4"/>
      <c r="I441" s="5"/>
      <c r="J441" s="4"/>
      <c r="K441" s="4"/>
      <c r="L441" s="4"/>
      <c r="M441" s="4"/>
      <c r="N441" s="5"/>
      <c r="O441" s="5"/>
      <c r="P441" s="5"/>
      <c r="Q441" s="5"/>
      <c r="R441" s="5"/>
      <c r="S441" s="5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</row>
    <row r="442">
      <c r="A442" s="31"/>
      <c r="B442" s="304"/>
      <c r="C442" s="5"/>
      <c r="D442" s="5"/>
      <c r="E442" s="4"/>
      <c r="F442" s="4"/>
      <c r="G442" s="4"/>
      <c r="H442" s="4"/>
      <c r="I442" s="5"/>
      <c r="J442" s="4"/>
      <c r="K442" s="4"/>
      <c r="L442" s="4"/>
      <c r="M442" s="4"/>
      <c r="N442" s="5"/>
      <c r="O442" s="5"/>
      <c r="P442" s="5"/>
      <c r="Q442" s="5"/>
      <c r="R442" s="5"/>
      <c r="S442" s="5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</row>
    <row r="443">
      <c r="A443" s="31"/>
      <c r="B443" s="304"/>
      <c r="C443" s="5"/>
      <c r="D443" s="5"/>
      <c r="E443" s="4"/>
      <c r="F443" s="4"/>
      <c r="G443" s="4"/>
      <c r="H443" s="4"/>
      <c r="I443" s="5"/>
      <c r="J443" s="4"/>
      <c r="K443" s="4"/>
      <c r="L443" s="4"/>
      <c r="M443" s="4"/>
      <c r="N443" s="5"/>
      <c r="O443" s="5"/>
      <c r="P443" s="5"/>
      <c r="Q443" s="5"/>
      <c r="R443" s="5"/>
      <c r="S443" s="5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</row>
    <row r="444">
      <c r="A444" s="31"/>
      <c r="B444" s="304"/>
      <c r="C444" s="5"/>
      <c r="D444" s="5"/>
      <c r="E444" s="4"/>
      <c r="F444" s="4"/>
      <c r="G444" s="4"/>
      <c r="H444" s="4"/>
      <c r="I444" s="5"/>
      <c r="J444" s="4"/>
      <c r="K444" s="4"/>
      <c r="L444" s="4"/>
      <c r="M444" s="4"/>
      <c r="N444" s="5"/>
      <c r="O444" s="5"/>
      <c r="P444" s="5"/>
      <c r="Q444" s="5"/>
      <c r="R444" s="5"/>
      <c r="S444" s="5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</row>
    <row r="445">
      <c r="A445" s="31"/>
      <c r="B445" s="304"/>
      <c r="C445" s="5"/>
      <c r="D445" s="5"/>
      <c r="E445" s="4"/>
      <c r="F445" s="4"/>
      <c r="G445" s="4"/>
      <c r="H445" s="4"/>
      <c r="I445" s="5"/>
      <c r="J445" s="4"/>
      <c r="K445" s="4"/>
      <c r="L445" s="4"/>
      <c r="M445" s="4"/>
      <c r="N445" s="5"/>
      <c r="O445" s="5"/>
      <c r="P445" s="5"/>
      <c r="Q445" s="5"/>
      <c r="R445" s="5"/>
      <c r="S445" s="5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</row>
    <row r="446">
      <c r="A446" s="31"/>
      <c r="B446" s="304"/>
      <c r="C446" s="5"/>
      <c r="D446" s="5"/>
      <c r="E446" s="4"/>
      <c r="F446" s="4"/>
      <c r="G446" s="4"/>
      <c r="H446" s="4"/>
      <c r="I446" s="5"/>
      <c r="J446" s="4"/>
      <c r="K446" s="4"/>
      <c r="L446" s="4"/>
      <c r="M446" s="4"/>
      <c r="N446" s="5"/>
      <c r="O446" s="5"/>
      <c r="P446" s="5"/>
      <c r="Q446" s="5"/>
      <c r="R446" s="5"/>
      <c r="S446" s="5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</row>
    <row r="447">
      <c r="A447" s="31"/>
      <c r="B447" s="304"/>
      <c r="C447" s="5"/>
      <c r="D447" s="5"/>
      <c r="E447" s="4"/>
      <c r="F447" s="4"/>
      <c r="G447" s="4"/>
      <c r="H447" s="4"/>
      <c r="I447" s="5"/>
      <c r="J447" s="4"/>
      <c r="K447" s="4"/>
      <c r="L447" s="4"/>
      <c r="M447" s="4"/>
      <c r="N447" s="5"/>
      <c r="O447" s="5"/>
      <c r="P447" s="5"/>
      <c r="Q447" s="5"/>
      <c r="R447" s="5"/>
      <c r="S447" s="5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</row>
    <row r="448">
      <c r="A448" s="31"/>
      <c r="B448" s="304"/>
      <c r="C448" s="5"/>
      <c r="D448" s="5"/>
      <c r="E448" s="4"/>
      <c r="F448" s="4"/>
      <c r="G448" s="4"/>
      <c r="H448" s="4"/>
      <c r="I448" s="5"/>
      <c r="J448" s="4"/>
      <c r="K448" s="4"/>
      <c r="L448" s="4"/>
      <c r="M448" s="4"/>
      <c r="N448" s="5"/>
      <c r="O448" s="5"/>
      <c r="P448" s="5"/>
      <c r="Q448" s="5"/>
      <c r="R448" s="5"/>
      <c r="S448" s="5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</row>
    <row r="449">
      <c r="A449" s="31"/>
      <c r="B449" s="304"/>
      <c r="C449" s="5"/>
      <c r="D449" s="5"/>
      <c r="E449" s="4"/>
      <c r="F449" s="4"/>
      <c r="G449" s="4"/>
      <c r="H449" s="4"/>
      <c r="I449" s="5"/>
      <c r="J449" s="4"/>
      <c r="K449" s="4"/>
      <c r="L449" s="4"/>
      <c r="M449" s="4"/>
      <c r="N449" s="5"/>
      <c r="O449" s="5"/>
      <c r="P449" s="5"/>
      <c r="Q449" s="5"/>
      <c r="R449" s="5"/>
      <c r="S449" s="5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</row>
    <row r="450">
      <c r="A450" s="31"/>
      <c r="B450" s="304"/>
      <c r="C450" s="5"/>
      <c r="D450" s="5"/>
      <c r="E450" s="4"/>
      <c r="F450" s="4"/>
      <c r="G450" s="4"/>
      <c r="H450" s="4"/>
      <c r="I450" s="5"/>
      <c r="J450" s="4"/>
      <c r="K450" s="4"/>
      <c r="L450" s="4"/>
      <c r="M450" s="4"/>
      <c r="N450" s="5"/>
      <c r="O450" s="5"/>
      <c r="P450" s="5"/>
      <c r="Q450" s="5"/>
      <c r="R450" s="5"/>
      <c r="S450" s="5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</row>
    <row r="451">
      <c r="A451" s="31"/>
      <c r="B451" s="304"/>
      <c r="C451" s="5"/>
      <c r="D451" s="5"/>
      <c r="E451" s="4"/>
      <c r="F451" s="4"/>
      <c r="G451" s="4"/>
      <c r="H451" s="4"/>
      <c r="I451" s="5"/>
      <c r="J451" s="4"/>
      <c r="K451" s="4"/>
      <c r="L451" s="4"/>
      <c r="M451" s="4"/>
      <c r="N451" s="5"/>
      <c r="O451" s="5"/>
      <c r="P451" s="5"/>
      <c r="Q451" s="5"/>
      <c r="R451" s="5"/>
      <c r="S451" s="5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</row>
    <row r="452">
      <c r="A452" s="31"/>
      <c r="B452" s="304"/>
      <c r="C452" s="5"/>
      <c r="D452" s="5"/>
      <c r="E452" s="4"/>
      <c r="F452" s="4"/>
      <c r="G452" s="4"/>
      <c r="H452" s="4"/>
      <c r="I452" s="5"/>
      <c r="J452" s="4"/>
      <c r="K452" s="4"/>
      <c r="L452" s="4"/>
      <c r="M452" s="4"/>
      <c r="N452" s="5"/>
      <c r="O452" s="5"/>
      <c r="P452" s="5"/>
      <c r="Q452" s="5"/>
      <c r="R452" s="5"/>
      <c r="S452" s="5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</row>
    <row r="453">
      <c r="A453" s="31"/>
      <c r="B453" s="304"/>
      <c r="C453" s="5"/>
      <c r="D453" s="5"/>
      <c r="E453" s="4"/>
      <c r="F453" s="4"/>
      <c r="G453" s="4"/>
      <c r="H453" s="4"/>
      <c r="I453" s="5"/>
      <c r="J453" s="4"/>
      <c r="K453" s="4"/>
      <c r="L453" s="4"/>
      <c r="M453" s="4"/>
      <c r="N453" s="5"/>
      <c r="O453" s="5"/>
      <c r="P453" s="5"/>
      <c r="Q453" s="5"/>
      <c r="R453" s="5"/>
      <c r="S453" s="5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</row>
    <row r="454">
      <c r="A454" s="31"/>
      <c r="B454" s="304"/>
      <c r="C454" s="5"/>
      <c r="D454" s="5"/>
      <c r="E454" s="4"/>
      <c r="F454" s="4"/>
      <c r="G454" s="4"/>
      <c r="H454" s="4"/>
      <c r="I454" s="5"/>
      <c r="J454" s="4"/>
      <c r="K454" s="4"/>
      <c r="L454" s="4"/>
      <c r="M454" s="4"/>
      <c r="N454" s="5"/>
      <c r="O454" s="5"/>
      <c r="P454" s="5"/>
      <c r="Q454" s="5"/>
      <c r="R454" s="5"/>
      <c r="S454" s="5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</row>
    <row r="455">
      <c r="A455" s="31"/>
      <c r="B455" s="304"/>
      <c r="C455" s="5"/>
      <c r="D455" s="5"/>
      <c r="E455" s="4"/>
      <c r="F455" s="4"/>
      <c r="G455" s="4"/>
      <c r="H455" s="4"/>
      <c r="I455" s="5"/>
      <c r="J455" s="4"/>
      <c r="K455" s="4"/>
      <c r="L455" s="4"/>
      <c r="M455" s="4"/>
      <c r="N455" s="5"/>
      <c r="O455" s="5"/>
      <c r="P455" s="5"/>
      <c r="Q455" s="5"/>
      <c r="R455" s="5"/>
      <c r="S455" s="5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</row>
    <row r="456">
      <c r="A456" s="31"/>
      <c r="B456" s="304"/>
      <c r="C456" s="5"/>
      <c r="D456" s="5"/>
      <c r="E456" s="4"/>
      <c r="F456" s="4"/>
      <c r="G456" s="4"/>
      <c r="H456" s="4"/>
      <c r="I456" s="5"/>
      <c r="J456" s="4"/>
      <c r="K456" s="4"/>
      <c r="L456" s="4"/>
      <c r="M456" s="4"/>
      <c r="N456" s="5"/>
      <c r="O456" s="5"/>
      <c r="P456" s="5"/>
      <c r="Q456" s="5"/>
      <c r="R456" s="5"/>
      <c r="S456" s="5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</row>
    <row r="457">
      <c r="A457" s="31"/>
      <c r="B457" s="304"/>
      <c r="C457" s="5"/>
      <c r="D457" s="5"/>
      <c r="E457" s="4"/>
      <c r="F457" s="4"/>
      <c r="G457" s="4"/>
      <c r="H457" s="4"/>
      <c r="I457" s="5"/>
      <c r="J457" s="4"/>
      <c r="K457" s="4"/>
      <c r="L457" s="4"/>
      <c r="M457" s="4"/>
      <c r="N457" s="5"/>
      <c r="O457" s="5"/>
      <c r="P457" s="5"/>
      <c r="Q457" s="5"/>
      <c r="R457" s="5"/>
      <c r="S457" s="5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</row>
    <row r="458">
      <c r="A458" s="31"/>
      <c r="B458" s="304"/>
      <c r="C458" s="5"/>
      <c r="D458" s="5"/>
      <c r="E458" s="4"/>
      <c r="F458" s="4"/>
      <c r="G458" s="4"/>
      <c r="H458" s="4"/>
      <c r="I458" s="5"/>
      <c r="J458" s="4"/>
      <c r="K458" s="4"/>
      <c r="L458" s="4"/>
      <c r="M458" s="4"/>
      <c r="N458" s="5"/>
      <c r="O458" s="5"/>
      <c r="P458" s="5"/>
      <c r="Q458" s="5"/>
      <c r="R458" s="5"/>
      <c r="S458" s="5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</row>
    <row r="459">
      <c r="A459" s="31"/>
      <c r="B459" s="304"/>
      <c r="C459" s="5"/>
      <c r="D459" s="5"/>
      <c r="E459" s="4"/>
      <c r="F459" s="4"/>
      <c r="G459" s="4"/>
      <c r="H459" s="4"/>
      <c r="I459" s="5"/>
      <c r="J459" s="4"/>
      <c r="K459" s="4"/>
      <c r="L459" s="4"/>
      <c r="M459" s="4"/>
      <c r="N459" s="5"/>
      <c r="O459" s="5"/>
      <c r="P459" s="5"/>
      <c r="Q459" s="5"/>
      <c r="R459" s="5"/>
      <c r="S459" s="5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</row>
    <row r="460">
      <c r="A460" s="31"/>
      <c r="B460" s="304"/>
      <c r="C460" s="5"/>
      <c r="D460" s="5"/>
      <c r="E460" s="4"/>
      <c r="F460" s="4"/>
      <c r="G460" s="4"/>
      <c r="H460" s="4"/>
      <c r="I460" s="5"/>
      <c r="J460" s="4"/>
      <c r="K460" s="4"/>
      <c r="L460" s="4"/>
      <c r="M460" s="4"/>
      <c r="N460" s="5"/>
      <c r="O460" s="5"/>
      <c r="P460" s="5"/>
      <c r="Q460" s="5"/>
      <c r="R460" s="5"/>
      <c r="S460" s="5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</row>
    <row r="461">
      <c r="A461" s="31"/>
      <c r="B461" s="304"/>
      <c r="C461" s="5"/>
      <c r="D461" s="5"/>
      <c r="E461" s="4"/>
      <c r="F461" s="4"/>
      <c r="G461" s="4"/>
      <c r="H461" s="4"/>
      <c r="I461" s="5"/>
      <c r="J461" s="4"/>
      <c r="K461" s="4"/>
      <c r="L461" s="4"/>
      <c r="M461" s="4"/>
      <c r="N461" s="5"/>
      <c r="O461" s="5"/>
      <c r="P461" s="5"/>
      <c r="Q461" s="5"/>
      <c r="R461" s="5"/>
      <c r="S461" s="5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</row>
    <row r="462">
      <c r="A462" s="31"/>
      <c r="B462" s="304"/>
      <c r="C462" s="5"/>
      <c r="D462" s="5"/>
      <c r="E462" s="4"/>
      <c r="F462" s="4"/>
      <c r="G462" s="4"/>
      <c r="H462" s="4"/>
      <c r="I462" s="5"/>
      <c r="J462" s="4"/>
      <c r="K462" s="4"/>
      <c r="L462" s="4"/>
      <c r="M462" s="4"/>
      <c r="N462" s="5"/>
      <c r="O462" s="5"/>
      <c r="P462" s="5"/>
      <c r="Q462" s="5"/>
      <c r="R462" s="5"/>
      <c r="S462" s="5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</row>
    <row r="463">
      <c r="A463" s="31"/>
      <c r="B463" s="304"/>
      <c r="C463" s="5"/>
      <c r="D463" s="5"/>
      <c r="E463" s="4"/>
      <c r="F463" s="4"/>
      <c r="G463" s="4"/>
      <c r="H463" s="4"/>
      <c r="I463" s="5"/>
      <c r="J463" s="4"/>
      <c r="K463" s="4"/>
      <c r="L463" s="4"/>
      <c r="M463" s="4"/>
      <c r="N463" s="5"/>
      <c r="O463" s="5"/>
      <c r="P463" s="5"/>
      <c r="Q463" s="5"/>
      <c r="R463" s="5"/>
      <c r="S463" s="5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</row>
    <row r="464">
      <c r="A464" s="31"/>
      <c r="B464" s="304"/>
      <c r="C464" s="5"/>
      <c r="D464" s="5"/>
      <c r="E464" s="4"/>
      <c r="F464" s="4"/>
      <c r="G464" s="4"/>
      <c r="H464" s="4"/>
      <c r="I464" s="5"/>
      <c r="J464" s="4"/>
      <c r="K464" s="4"/>
      <c r="L464" s="4"/>
      <c r="M464" s="4"/>
      <c r="N464" s="5"/>
      <c r="O464" s="5"/>
      <c r="P464" s="5"/>
      <c r="Q464" s="5"/>
      <c r="R464" s="5"/>
      <c r="S464" s="5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</row>
    <row r="465">
      <c r="A465" s="31"/>
      <c r="B465" s="304"/>
      <c r="C465" s="5"/>
      <c r="D465" s="5"/>
      <c r="E465" s="4"/>
      <c r="F465" s="4"/>
      <c r="G465" s="4"/>
      <c r="H465" s="4"/>
      <c r="I465" s="5"/>
      <c r="J465" s="4"/>
      <c r="K465" s="4"/>
      <c r="L465" s="4"/>
      <c r="M465" s="4"/>
      <c r="N465" s="5"/>
      <c r="O465" s="5"/>
      <c r="P465" s="5"/>
      <c r="Q465" s="5"/>
      <c r="R465" s="5"/>
      <c r="S465" s="5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</row>
    <row r="466">
      <c r="A466" s="31"/>
      <c r="B466" s="304"/>
      <c r="C466" s="5"/>
      <c r="D466" s="5"/>
      <c r="E466" s="4"/>
      <c r="F466" s="4"/>
      <c r="G466" s="4"/>
      <c r="H466" s="4"/>
      <c r="I466" s="5"/>
      <c r="J466" s="4"/>
      <c r="K466" s="4"/>
      <c r="L466" s="4"/>
      <c r="M466" s="4"/>
      <c r="N466" s="5"/>
      <c r="O466" s="5"/>
      <c r="P466" s="5"/>
      <c r="Q466" s="5"/>
      <c r="R466" s="5"/>
      <c r="S466" s="5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</row>
    <row r="467">
      <c r="A467" s="31"/>
      <c r="B467" s="304"/>
      <c r="C467" s="5"/>
      <c r="D467" s="5"/>
      <c r="E467" s="4"/>
      <c r="F467" s="4"/>
      <c r="G467" s="4"/>
      <c r="H467" s="4"/>
      <c r="I467" s="5"/>
      <c r="J467" s="4"/>
      <c r="K467" s="4"/>
      <c r="L467" s="4"/>
      <c r="M467" s="4"/>
      <c r="N467" s="5"/>
      <c r="O467" s="5"/>
      <c r="P467" s="5"/>
      <c r="Q467" s="5"/>
      <c r="R467" s="5"/>
      <c r="S467" s="5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</row>
    <row r="468">
      <c r="A468" s="31"/>
      <c r="B468" s="304"/>
      <c r="C468" s="5"/>
      <c r="D468" s="5"/>
      <c r="E468" s="4"/>
      <c r="F468" s="4"/>
      <c r="G468" s="4"/>
      <c r="H468" s="4"/>
      <c r="I468" s="5"/>
      <c r="J468" s="4"/>
      <c r="K468" s="4"/>
      <c r="L468" s="4"/>
      <c r="M468" s="4"/>
      <c r="N468" s="5"/>
      <c r="O468" s="5"/>
      <c r="P468" s="5"/>
      <c r="Q468" s="5"/>
      <c r="R468" s="5"/>
      <c r="S468" s="5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</row>
    <row r="469">
      <c r="A469" s="31"/>
      <c r="B469" s="304"/>
      <c r="C469" s="5"/>
      <c r="D469" s="5"/>
      <c r="E469" s="4"/>
      <c r="F469" s="4"/>
      <c r="G469" s="4"/>
      <c r="H469" s="4"/>
      <c r="I469" s="5"/>
      <c r="J469" s="4"/>
      <c r="K469" s="4"/>
      <c r="L469" s="4"/>
      <c r="M469" s="4"/>
      <c r="N469" s="5"/>
      <c r="O469" s="5"/>
      <c r="P469" s="5"/>
      <c r="Q469" s="5"/>
      <c r="R469" s="5"/>
      <c r="S469" s="5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</row>
    <row r="470">
      <c r="A470" s="31"/>
      <c r="B470" s="304"/>
      <c r="C470" s="5"/>
      <c r="D470" s="5"/>
      <c r="E470" s="4"/>
      <c r="F470" s="4"/>
      <c r="G470" s="4"/>
      <c r="H470" s="4"/>
      <c r="I470" s="5"/>
      <c r="J470" s="4"/>
      <c r="K470" s="4"/>
      <c r="L470" s="4"/>
      <c r="M470" s="4"/>
      <c r="N470" s="5"/>
      <c r="O470" s="5"/>
      <c r="P470" s="5"/>
      <c r="Q470" s="5"/>
      <c r="R470" s="5"/>
      <c r="S470" s="5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</row>
    <row r="471">
      <c r="A471" s="31"/>
      <c r="B471" s="304"/>
      <c r="C471" s="5"/>
      <c r="D471" s="5"/>
      <c r="E471" s="4"/>
      <c r="F471" s="4"/>
      <c r="G471" s="4"/>
      <c r="H471" s="4"/>
      <c r="I471" s="5"/>
      <c r="J471" s="4"/>
      <c r="K471" s="4"/>
      <c r="L471" s="4"/>
      <c r="M471" s="4"/>
      <c r="N471" s="5"/>
      <c r="O471" s="5"/>
      <c r="P471" s="5"/>
      <c r="Q471" s="5"/>
      <c r="R471" s="5"/>
      <c r="S471" s="5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</row>
    <row r="472">
      <c r="A472" s="31"/>
      <c r="B472" s="304"/>
      <c r="C472" s="5"/>
      <c r="D472" s="5"/>
      <c r="E472" s="4"/>
      <c r="F472" s="4"/>
      <c r="G472" s="4"/>
      <c r="H472" s="4"/>
      <c r="I472" s="5"/>
      <c r="J472" s="4"/>
      <c r="K472" s="4"/>
      <c r="L472" s="4"/>
      <c r="M472" s="4"/>
      <c r="N472" s="5"/>
      <c r="O472" s="5"/>
      <c r="P472" s="5"/>
      <c r="Q472" s="5"/>
      <c r="R472" s="5"/>
      <c r="S472" s="5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</row>
    <row r="473">
      <c r="A473" s="31"/>
      <c r="B473" s="304"/>
      <c r="C473" s="5"/>
      <c r="D473" s="5"/>
      <c r="E473" s="4"/>
      <c r="F473" s="4"/>
      <c r="G473" s="4"/>
      <c r="H473" s="4"/>
      <c r="I473" s="5"/>
      <c r="J473" s="4"/>
      <c r="K473" s="4"/>
      <c r="L473" s="4"/>
      <c r="M473" s="4"/>
      <c r="N473" s="5"/>
      <c r="O473" s="5"/>
      <c r="P473" s="5"/>
      <c r="Q473" s="5"/>
      <c r="R473" s="5"/>
      <c r="S473" s="5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</row>
    <row r="474">
      <c r="A474" s="31"/>
      <c r="B474" s="304"/>
      <c r="C474" s="5"/>
      <c r="D474" s="5"/>
      <c r="E474" s="4"/>
      <c r="F474" s="4"/>
      <c r="G474" s="4"/>
      <c r="H474" s="4"/>
      <c r="I474" s="5"/>
      <c r="J474" s="4"/>
      <c r="K474" s="4"/>
      <c r="L474" s="4"/>
      <c r="M474" s="4"/>
      <c r="N474" s="5"/>
      <c r="O474" s="5"/>
      <c r="P474" s="5"/>
      <c r="Q474" s="5"/>
      <c r="R474" s="5"/>
      <c r="S474" s="5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</row>
    <row r="475">
      <c r="A475" s="31"/>
      <c r="B475" s="304"/>
      <c r="C475" s="5"/>
      <c r="D475" s="5"/>
      <c r="E475" s="4"/>
      <c r="F475" s="4"/>
      <c r="G475" s="4"/>
      <c r="H475" s="4"/>
      <c r="I475" s="5"/>
      <c r="J475" s="4"/>
      <c r="K475" s="4"/>
      <c r="L475" s="4"/>
      <c r="M475" s="4"/>
      <c r="N475" s="5"/>
      <c r="O475" s="5"/>
      <c r="P475" s="5"/>
      <c r="Q475" s="5"/>
      <c r="R475" s="5"/>
      <c r="S475" s="5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</row>
    <row r="476">
      <c r="A476" s="31"/>
      <c r="B476" s="304"/>
      <c r="C476" s="5"/>
      <c r="D476" s="5"/>
      <c r="E476" s="4"/>
      <c r="F476" s="4"/>
      <c r="G476" s="4"/>
      <c r="H476" s="4"/>
      <c r="I476" s="5"/>
      <c r="J476" s="4"/>
      <c r="K476" s="4"/>
      <c r="L476" s="4"/>
      <c r="M476" s="4"/>
      <c r="N476" s="5"/>
      <c r="O476" s="5"/>
      <c r="P476" s="5"/>
      <c r="Q476" s="5"/>
      <c r="R476" s="5"/>
      <c r="S476" s="5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</row>
    <row r="477">
      <c r="A477" s="31"/>
      <c r="B477" s="304"/>
      <c r="C477" s="5"/>
      <c r="D477" s="5"/>
      <c r="E477" s="4"/>
      <c r="F477" s="4"/>
      <c r="G477" s="4"/>
      <c r="H477" s="4"/>
      <c r="I477" s="5"/>
      <c r="J477" s="4"/>
      <c r="K477" s="4"/>
      <c r="L477" s="4"/>
      <c r="M477" s="4"/>
      <c r="N477" s="5"/>
      <c r="O477" s="5"/>
      <c r="P477" s="5"/>
      <c r="Q477" s="5"/>
      <c r="R477" s="5"/>
      <c r="S477" s="5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</row>
    <row r="478">
      <c r="A478" s="31"/>
      <c r="B478" s="304"/>
      <c r="C478" s="5"/>
      <c r="D478" s="5"/>
      <c r="E478" s="4"/>
      <c r="F478" s="4"/>
      <c r="G478" s="4"/>
      <c r="H478" s="4"/>
      <c r="I478" s="5"/>
      <c r="J478" s="4"/>
      <c r="K478" s="4"/>
      <c r="L478" s="4"/>
      <c r="M478" s="4"/>
      <c r="N478" s="5"/>
      <c r="O478" s="5"/>
      <c r="P478" s="5"/>
      <c r="Q478" s="5"/>
      <c r="R478" s="5"/>
      <c r="S478" s="5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</row>
    <row r="479">
      <c r="A479" s="31"/>
      <c r="B479" s="304"/>
      <c r="C479" s="5"/>
      <c r="D479" s="5"/>
      <c r="E479" s="4"/>
      <c r="F479" s="4"/>
      <c r="G479" s="4"/>
      <c r="H479" s="4"/>
      <c r="I479" s="5"/>
      <c r="J479" s="4"/>
      <c r="K479" s="4"/>
      <c r="L479" s="4"/>
      <c r="M479" s="4"/>
      <c r="N479" s="5"/>
      <c r="O479" s="5"/>
      <c r="P479" s="5"/>
      <c r="Q479" s="5"/>
      <c r="R479" s="5"/>
      <c r="S479" s="5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</row>
    <row r="480">
      <c r="A480" s="31"/>
      <c r="B480" s="304"/>
      <c r="C480" s="5"/>
      <c r="D480" s="5"/>
      <c r="E480" s="4"/>
      <c r="F480" s="4"/>
      <c r="G480" s="4"/>
      <c r="H480" s="4"/>
      <c r="I480" s="5"/>
      <c r="J480" s="4"/>
      <c r="K480" s="4"/>
      <c r="L480" s="4"/>
      <c r="M480" s="4"/>
      <c r="N480" s="5"/>
      <c r="O480" s="5"/>
      <c r="P480" s="5"/>
      <c r="Q480" s="5"/>
      <c r="R480" s="5"/>
      <c r="S480" s="5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</row>
    <row r="481">
      <c r="A481" s="31"/>
      <c r="B481" s="304"/>
      <c r="C481" s="5"/>
      <c r="D481" s="5"/>
      <c r="E481" s="4"/>
      <c r="F481" s="4"/>
      <c r="G481" s="4"/>
      <c r="H481" s="4"/>
      <c r="I481" s="5"/>
      <c r="J481" s="4"/>
      <c r="K481" s="4"/>
      <c r="L481" s="4"/>
      <c r="M481" s="4"/>
      <c r="N481" s="5"/>
      <c r="O481" s="5"/>
      <c r="P481" s="5"/>
      <c r="Q481" s="5"/>
      <c r="R481" s="5"/>
      <c r="S481" s="5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</row>
    <row r="482">
      <c r="A482" s="31"/>
      <c r="B482" s="304"/>
      <c r="C482" s="5"/>
      <c r="D482" s="5"/>
      <c r="E482" s="4"/>
      <c r="F482" s="4"/>
      <c r="G482" s="4"/>
      <c r="H482" s="4"/>
      <c r="I482" s="5"/>
      <c r="J482" s="4"/>
      <c r="K482" s="4"/>
      <c r="L482" s="4"/>
      <c r="M482" s="4"/>
      <c r="N482" s="5"/>
      <c r="O482" s="5"/>
      <c r="P482" s="5"/>
      <c r="Q482" s="5"/>
      <c r="R482" s="5"/>
      <c r="S482" s="5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</row>
    <row r="483">
      <c r="A483" s="31"/>
      <c r="B483" s="304"/>
      <c r="C483" s="5"/>
      <c r="D483" s="5"/>
      <c r="E483" s="4"/>
      <c r="F483" s="4"/>
      <c r="G483" s="4"/>
      <c r="H483" s="4"/>
      <c r="I483" s="5"/>
      <c r="J483" s="4"/>
      <c r="K483" s="4"/>
      <c r="L483" s="4"/>
      <c r="M483" s="4"/>
      <c r="N483" s="5"/>
      <c r="O483" s="5"/>
      <c r="P483" s="5"/>
      <c r="Q483" s="5"/>
      <c r="R483" s="5"/>
      <c r="S483" s="5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</row>
    <row r="484">
      <c r="A484" s="31"/>
      <c r="B484" s="304"/>
      <c r="C484" s="5"/>
      <c r="D484" s="5"/>
      <c r="E484" s="4"/>
      <c r="F484" s="4"/>
      <c r="G484" s="4"/>
      <c r="H484" s="4"/>
      <c r="I484" s="5"/>
      <c r="J484" s="4"/>
      <c r="K484" s="4"/>
      <c r="L484" s="4"/>
      <c r="M484" s="4"/>
      <c r="N484" s="5"/>
      <c r="O484" s="5"/>
      <c r="P484" s="5"/>
      <c r="Q484" s="5"/>
      <c r="R484" s="5"/>
      <c r="S484" s="5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</row>
    <row r="485">
      <c r="A485" s="31"/>
      <c r="B485" s="304"/>
      <c r="C485" s="5"/>
      <c r="D485" s="5"/>
      <c r="E485" s="4"/>
      <c r="F485" s="4"/>
      <c r="G485" s="4"/>
      <c r="H485" s="4"/>
      <c r="I485" s="5"/>
      <c r="J485" s="4"/>
      <c r="K485" s="4"/>
      <c r="L485" s="4"/>
      <c r="M485" s="4"/>
      <c r="N485" s="5"/>
      <c r="O485" s="5"/>
      <c r="P485" s="5"/>
      <c r="Q485" s="5"/>
      <c r="R485" s="5"/>
      <c r="S485" s="5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</row>
    <row r="486">
      <c r="A486" s="31"/>
      <c r="B486" s="304"/>
      <c r="C486" s="5"/>
      <c r="D486" s="5"/>
      <c r="E486" s="4"/>
      <c r="F486" s="4"/>
      <c r="G486" s="4"/>
      <c r="H486" s="4"/>
      <c r="I486" s="5"/>
      <c r="J486" s="4"/>
      <c r="K486" s="4"/>
      <c r="L486" s="4"/>
      <c r="M486" s="4"/>
      <c r="N486" s="5"/>
      <c r="O486" s="5"/>
      <c r="P486" s="5"/>
      <c r="Q486" s="5"/>
      <c r="R486" s="5"/>
      <c r="S486" s="5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</row>
    <row r="487">
      <c r="A487" s="31"/>
      <c r="B487" s="304"/>
      <c r="C487" s="5"/>
      <c r="D487" s="5"/>
      <c r="E487" s="4"/>
      <c r="F487" s="4"/>
      <c r="G487" s="4"/>
      <c r="H487" s="4"/>
      <c r="I487" s="5"/>
      <c r="J487" s="4"/>
      <c r="K487" s="4"/>
      <c r="L487" s="4"/>
      <c r="M487" s="4"/>
      <c r="N487" s="5"/>
      <c r="O487" s="5"/>
      <c r="P487" s="5"/>
      <c r="Q487" s="5"/>
      <c r="R487" s="5"/>
      <c r="S487" s="5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</row>
    <row r="488">
      <c r="A488" s="31"/>
      <c r="B488" s="304"/>
      <c r="C488" s="5"/>
      <c r="D488" s="5"/>
      <c r="E488" s="4"/>
      <c r="F488" s="4"/>
      <c r="G488" s="4"/>
      <c r="H488" s="4"/>
      <c r="I488" s="5"/>
      <c r="J488" s="4"/>
      <c r="K488" s="4"/>
      <c r="L488" s="4"/>
      <c r="M488" s="4"/>
      <c r="N488" s="5"/>
      <c r="O488" s="5"/>
      <c r="P488" s="5"/>
      <c r="Q488" s="5"/>
      <c r="R488" s="5"/>
      <c r="S488" s="5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</row>
    <row r="489">
      <c r="A489" s="31"/>
      <c r="B489" s="304"/>
      <c r="C489" s="5"/>
      <c r="D489" s="5"/>
      <c r="E489" s="4"/>
      <c r="F489" s="4"/>
      <c r="G489" s="4"/>
      <c r="H489" s="4"/>
      <c r="I489" s="5"/>
      <c r="J489" s="4"/>
      <c r="K489" s="4"/>
      <c r="L489" s="4"/>
      <c r="M489" s="4"/>
      <c r="N489" s="5"/>
      <c r="O489" s="5"/>
      <c r="P489" s="5"/>
      <c r="Q489" s="5"/>
      <c r="R489" s="5"/>
      <c r="S489" s="5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</row>
    <row r="490">
      <c r="A490" s="31"/>
      <c r="B490" s="304"/>
      <c r="C490" s="5"/>
      <c r="D490" s="5"/>
      <c r="E490" s="4"/>
      <c r="F490" s="4"/>
      <c r="G490" s="4"/>
      <c r="H490" s="4"/>
      <c r="I490" s="5"/>
      <c r="J490" s="4"/>
      <c r="K490" s="4"/>
      <c r="L490" s="4"/>
      <c r="M490" s="4"/>
      <c r="N490" s="5"/>
      <c r="O490" s="5"/>
      <c r="P490" s="5"/>
      <c r="Q490" s="5"/>
      <c r="R490" s="5"/>
      <c r="S490" s="5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</row>
    <row r="491">
      <c r="A491" s="31"/>
      <c r="B491" s="304"/>
      <c r="C491" s="5"/>
      <c r="D491" s="5"/>
      <c r="E491" s="4"/>
      <c r="F491" s="4"/>
      <c r="G491" s="4"/>
      <c r="H491" s="4"/>
      <c r="I491" s="5"/>
      <c r="J491" s="4"/>
      <c r="K491" s="4"/>
      <c r="L491" s="4"/>
      <c r="M491" s="4"/>
      <c r="N491" s="5"/>
      <c r="O491" s="5"/>
      <c r="P491" s="5"/>
      <c r="Q491" s="5"/>
      <c r="R491" s="5"/>
      <c r="S491" s="5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</row>
    <row r="492">
      <c r="A492" s="31"/>
      <c r="B492" s="304"/>
      <c r="C492" s="5"/>
      <c r="D492" s="5"/>
      <c r="E492" s="4"/>
      <c r="F492" s="4"/>
      <c r="G492" s="4"/>
      <c r="H492" s="4"/>
      <c r="I492" s="5"/>
      <c r="J492" s="4"/>
      <c r="K492" s="4"/>
      <c r="L492" s="4"/>
      <c r="M492" s="4"/>
      <c r="N492" s="5"/>
      <c r="O492" s="5"/>
      <c r="P492" s="5"/>
      <c r="Q492" s="5"/>
      <c r="R492" s="5"/>
      <c r="S492" s="5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</row>
    <row r="493">
      <c r="A493" s="31"/>
      <c r="B493" s="304"/>
      <c r="C493" s="5"/>
      <c r="D493" s="5"/>
      <c r="E493" s="4"/>
      <c r="F493" s="4"/>
      <c r="G493" s="4"/>
      <c r="H493" s="4"/>
      <c r="I493" s="5"/>
      <c r="J493" s="4"/>
      <c r="K493" s="4"/>
      <c r="L493" s="4"/>
      <c r="M493" s="4"/>
      <c r="N493" s="5"/>
      <c r="O493" s="5"/>
      <c r="P493" s="5"/>
      <c r="Q493" s="5"/>
      <c r="R493" s="5"/>
      <c r="S493" s="5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</row>
    <row r="494">
      <c r="A494" s="31"/>
      <c r="B494" s="304"/>
      <c r="C494" s="5"/>
      <c r="D494" s="5"/>
      <c r="E494" s="4"/>
      <c r="F494" s="4"/>
      <c r="G494" s="4"/>
      <c r="H494" s="4"/>
      <c r="I494" s="5"/>
      <c r="J494" s="4"/>
      <c r="K494" s="4"/>
      <c r="L494" s="4"/>
      <c r="M494" s="4"/>
      <c r="N494" s="5"/>
      <c r="O494" s="5"/>
      <c r="P494" s="5"/>
      <c r="Q494" s="5"/>
      <c r="R494" s="5"/>
      <c r="S494" s="5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</row>
    <row r="495">
      <c r="A495" s="31"/>
      <c r="B495" s="304"/>
      <c r="C495" s="5"/>
      <c r="D495" s="5"/>
      <c r="E495" s="4"/>
      <c r="F495" s="4"/>
      <c r="G495" s="4"/>
      <c r="H495" s="4"/>
      <c r="I495" s="5"/>
      <c r="J495" s="4"/>
      <c r="K495" s="4"/>
      <c r="L495" s="4"/>
      <c r="M495" s="4"/>
      <c r="N495" s="5"/>
      <c r="O495" s="5"/>
      <c r="P495" s="5"/>
      <c r="Q495" s="5"/>
      <c r="R495" s="5"/>
      <c r="S495" s="5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</row>
    <row r="496">
      <c r="A496" s="31"/>
      <c r="B496" s="304"/>
      <c r="C496" s="5"/>
      <c r="D496" s="5"/>
      <c r="E496" s="4"/>
      <c r="F496" s="4"/>
      <c r="G496" s="4"/>
      <c r="H496" s="4"/>
      <c r="I496" s="5"/>
      <c r="J496" s="4"/>
      <c r="K496" s="4"/>
      <c r="L496" s="4"/>
      <c r="M496" s="4"/>
      <c r="N496" s="5"/>
      <c r="O496" s="5"/>
      <c r="P496" s="5"/>
      <c r="Q496" s="5"/>
      <c r="R496" s="5"/>
      <c r="S496" s="5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</row>
    <row r="497">
      <c r="A497" s="31"/>
      <c r="B497" s="304"/>
      <c r="C497" s="5"/>
      <c r="D497" s="5"/>
      <c r="E497" s="4"/>
      <c r="F497" s="4"/>
      <c r="G497" s="4"/>
      <c r="H497" s="4"/>
      <c r="I497" s="5"/>
      <c r="J497" s="4"/>
      <c r="K497" s="4"/>
      <c r="L497" s="4"/>
      <c r="M497" s="4"/>
      <c r="N497" s="5"/>
      <c r="O497" s="5"/>
      <c r="P497" s="5"/>
      <c r="Q497" s="5"/>
      <c r="R497" s="5"/>
      <c r="S497" s="5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</row>
    <row r="498">
      <c r="A498" s="31"/>
      <c r="B498" s="304"/>
      <c r="C498" s="5"/>
      <c r="D498" s="5"/>
      <c r="E498" s="4"/>
      <c r="F498" s="4"/>
      <c r="G498" s="4"/>
      <c r="H498" s="4"/>
      <c r="I498" s="5"/>
      <c r="J498" s="4"/>
      <c r="K498" s="4"/>
      <c r="L498" s="4"/>
      <c r="M498" s="4"/>
      <c r="N498" s="5"/>
      <c r="O498" s="5"/>
      <c r="P498" s="5"/>
      <c r="Q498" s="5"/>
      <c r="R498" s="5"/>
      <c r="S498" s="5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</row>
    <row r="499">
      <c r="A499" s="31"/>
      <c r="B499" s="304"/>
      <c r="C499" s="5"/>
      <c r="D499" s="5"/>
      <c r="E499" s="4"/>
      <c r="F499" s="4"/>
      <c r="G499" s="4"/>
      <c r="H499" s="4"/>
      <c r="I499" s="5"/>
      <c r="J499" s="4"/>
      <c r="K499" s="4"/>
      <c r="L499" s="4"/>
      <c r="M499" s="4"/>
      <c r="N499" s="5"/>
      <c r="O499" s="5"/>
      <c r="P499" s="5"/>
      <c r="Q499" s="5"/>
      <c r="R499" s="5"/>
      <c r="S499" s="5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</row>
    <row r="500">
      <c r="A500" s="31"/>
      <c r="B500" s="304"/>
      <c r="C500" s="5"/>
      <c r="D500" s="5"/>
      <c r="E500" s="4"/>
      <c r="F500" s="4"/>
      <c r="G500" s="4"/>
      <c r="H500" s="4"/>
      <c r="I500" s="5"/>
      <c r="J500" s="4"/>
      <c r="K500" s="4"/>
      <c r="L500" s="4"/>
      <c r="M500" s="4"/>
      <c r="N500" s="5"/>
      <c r="O500" s="5"/>
      <c r="P500" s="5"/>
      <c r="Q500" s="5"/>
      <c r="R500" s="5"/>
      <c r="S500" s="5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</row>
    <row r="501">
      <c r="A501" s="31"/>
      <c r="B501" s="304"/>
      <c r="C501" s="5"/>
      <c r="D501" s="5"/>
      <c r="E501" s="4"/>
      <c r="F501" s="4"/>
      <c r="G501" s="4"/>
      <c r="H501" s="4"/>
      <c r="I501" s="5"/>
      <c r="J501" s="4"/>
      <c r="K501" s="4"/>
      <c r="L501" s="4"/>
      <c r="M501" s="4"/>
      <c r="N501" s="5"/>
      <c r="O501" s="5"/>
      <c r="P501" s="5"/>
      <c r="Q501" s="5"/>
      <c r="R501" s="5"/>
      <c r="S501" s="5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</row>
    <row r="502">
      <c r="A502" s="31"/>
      <c r="B502" s="304"/>
      <c r="C502" s="5"/>
      <c r="D502" s="5"/>
      <c r="E502" s="4"/>
      <c r="F502" s="4"/>
      <c r="G502" s="4"/>
      <c r="H502" s="4"/>
      <c r="I502" s="5"/>
      <c r="J502" s="4"/>
      <c r="K502" s="4"/>
      <c r="L502" s="4"/>
      <c r="M502" s="4"/>
      <c r="N502" s="5"/>
      <c r="O502" s="5"/>
      <c r="P502" s="5"/>
      <c r="Q502" s="5"/>
      <c r="R502" s="5"/>
      <c r="S502" s="5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</row>
    <row r="503">
      <c r="A503" s="31"/>
      <c r="B503" s="304"/>
      <c r="C503" s="5"/>
      <c r="D503" s="5"/>
      <c r="E503" s="4"/>
      <c r="F503" s="4"/>
      <c r="G503" s="4"/>
      <c r="H503" s="4"/>
      <c r="I503" s="5"/>
      <c r="J503" s="4"/>
      <c r="K503" s="4"/>
      <c r="L503" s="4"/>
      <c r="M503" s="4"/>
      <c r="N503" s="5"/>
      <c r="O503" s="5"/>
      <c r="P503" s="5"/>
      <c r="Q503" s="5"/>
      <c r="R503" s="5"/>
      <c r="S503" s="5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</row>
    <row r="504">
      <c r="A504" s="31"/>
      <c r="B504" s="304"/>
      <c r="C504" s="5"/>
      <c r="D504" s="5"/>
      <c r="E504" s="4"/>
      <c r="F504" s="4"/>
      <c r="G504" s="4"/>
      <c r="H504" s="4"/>
      <c r="I504" s="5"/>
      <c r="J504" s="4"/>
      <c r="K504" s="4"/>
      <c r="L504" s="4"/>
      <c r="M504" s="4"/>
      <c r="N504" s="5"/>
      <c r="O504" s="5"/>
      <c r="P504" s="5"/>
      <c r="Q504" s="5"/>
      <c r="R504" s="5"/>
      <c r="S504" s="5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</row>
    <row r="505">
      <c r="A505" s="31"/>
      <c r="B505" s="304"/>
      <c r="C505" s="5"/>
      <c r="D505" s="5"/>
      <c r="E505" s="4"/>
      <c r="F505" s="4"/>
      <c r="G505" s="4"/>
      <c r="H505" s="4"/>
      <c r="I505" s="5"/>
      <c r="J505" s="4"/>
      <c r="K505" s="4"/>
      <c r="L505" s="4"/>
      <c r="M505" s="4"/>
      <c r="N505" s="5"/>
      <c r="O505" s="5"/>
      <c r="P505" s="5"/>
      <c r="Q505" s="5"/>
      <c r="R505" s="5"/>
      <c r="S505" s="5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</row>
    <row r="506">
      <c r="A506" s="31"/>
      <c r="B506" s="304"/>
      <c r="C506" s="5"/>
      <c r="D506" s="5"/>
      <c r="E506" s="4"/>
      <c r="F506" s="4"/>
      <c r="G506" s="4"/>
      <c r="H506" s="4"/>
      <c r="I506" s="5"/>
      <c r="J506" s="4"/>
      <c r="K506" s="4"/>
      <c r="L506" s="4"/>
      <c r="M506" s="4"/>
      <c r="N506" s="5"/>
      <c r="O506" s="5"/>
      <c r="P506" s="5"/>
      <c r="Q506" s="5"/>
      <c r="R506" s="5"/>
      <c r="S506" s="5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</row>
    <row r="507">
      <c r="A507" s="31"/>
      <c r="B507" s="304"/>
      <c r="C507" s="5"/>
      <c r="D507" s="5"/>
      <c r="E507" s="4"/>
      <c r="F507" s="4"/>
      <c r="G507" s="4"/>
      <c r="H507" s="4"/>
      <c r="I507" s="5"/>
      <c r="J507" s="4"/>
      <c r="K507" s="4"/>
      <c r="L507" s="4"/>
      <c r="M507" s="4"/>
      <c r="N507" s="5"/>
      <c r="O507" s="5"/>
      <c r="P507" s="5"/>
      <c r="Q507" s="5"/>
      <c r="R507" s="5"/>
      <c r="S507" s="5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</row>
    <row r="508">
      <c r="A508" s="31"/>
      <c r="B508" s="304"/>
      <c r="C508" s="5"/>
      <c r="D508" s="5"/>
      <c r="E508" s="4"/>
      <c r="F508" s="4"/>
      <c r="G508" s="4"/>
      <c r="H508" s="4"/>
      <c r="I508" s="5"/>
      <c r="J508" s="4"/>
      <c r="K508" s="4"/>
      <c r="L508" s="4"/>
      <c r="M508" s="4"/>
      <c r="N508" s="5"/>
      <c r="O508" s="5"/>
      <c r="P508" s="5"/>
      <c r="Q508" s="5"/>
      <c r="R508" s="5"/>
      <c r="S508" s="5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</row>
    <row r="509">
      <c r="A509" s="31"/>
      <c r="B509" s="304"/>
      <c r="C509" s="5"/>
      <c r="D509" s="5"/>
      <c r="E509" s="4"/>
      <c r="F509" s="4"/>
      <c r="G509" s="4"/>
      <c r="H509" s="4"/>
      <c r="I509" s="5"/>
      <c r="J509" s="4"/>
      <c r="K509" s="4"/>
      <c r="L509" s="4"/>
      <c r="M509" s="4"/>
      <c r="N509" s="5"/>
      <c r="O509" s="5"/>
      <c r="P509" s="5"/>
      <c r="Q509" s="5"/>
      <c r="R509" s="5"/>
      <c r="S509" s="5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</row>
    <row r="510">
      <c r="A510" s="31"/>
      <c r="B510" s="304"/>
      <c r="C510" s="5"/>
      <c r="D510" s="5"/>
      <c r="E510" s="4"/>
      <c r="F510" s="4"/>
      <c r="G510" s="4"/>
      <c r="H510" s="4"/>
      <c r="I510" s="5"/>
      <c r="J510" s="4"/>
      <c r="K510" s="4"/>
      <c r="L510" s="4"/>
      <c r="M510" s="4"/>
      <c r="N510" s="5"/>
      <c r="O510" s="5"/>
      <c r="P510" s="5"/>
      <c r="Q510" s="5"/>
      <c r="R510" s="5"/>
      <c r="S510" s="5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</row>
    <row r="511">
      <c r="A511" s="31"/>
      <c r="B511" s="304"/>
      <c r="C511" s="5"/>
      <c r="D511" s="5"/>
      <c r="E511" s="4"/>
      <c r="F511" s="4"/>
      <c r="G511" s="4"/>
      <c r="H511" s="4"/>
      <c r="I511" s="5"/>
      <c r="J511" s="4"/>
      <c r="K511" s="4"/>
      <c r="L511" s="4"/>
      <c r="M511" s="4"/>
      <c r="N511" s="5"/>
      <c r="O511" s="5"/>
      <c r="P511" s="5"/>
      <c r="Q511" s="5"/>
      <c r="R511" s="5"/>
      <c r="S511" s="5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</row>
    <row r="512">
      <c r="A512" s="31"/>
      <c r="B512" s="304"/>
      <c r="C512" s="5"/>
      <c r="D512" s="5"/>
      <c r="E512" s="4"/>
      <c r="F512" s="4"/>
      <c r="G512" s="4"/>
      <c r="H512" s="4"/>
      <c r="I512" s="5"/>
      <c r="J512" s="4"/>
      <c r="K512" s="4"/>
      <c r="L512" s="4"/>
      <c r="M512" s="4"/>
      <c r="N512" s="5"/>
      <c r="O512" s="5"/>
      <c r="P512" s="5"/>
      <c r="Q512" s="5"/>
      <c r="R512" s="5"/>
      <c r="S512" s="5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</row>
    <row r="513">
      <c r="A513" s="31"/>
      <c r="B513" s="304"/>
      <c r="C513" s="5"/>
      <c r="D513" s="5"/>
      <c r="E513" s="4"/>
      <c r="F513" s="4"/>
      <c r="G513" s="4"/>
      <c r="H513" s="4"/>
      <c r="I513" s="5"/>
      <c r="J513" s="4"/>
      <c r="K513" s="4"/>
      <c r="L513" s="4"/>
      <c r="M513" s="4"/>
      <c r="N513" s="5"/>
      <c r="O513" s="5"/>
      <c r="P513" s="5"/>
      <c r="Q513" s="5"/>
      <c r="R513" s="5"/>
      <c r="S513" s="5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</row>
    <row r="514">
      <c r="A514" s="31"/>
      <c r="B514" s="304"/>
      <c r="C514" s="5"/>
      <c r="D514" s="5"/>
      <c r="E514" s="4"/>
      <c r="F514" s="4"/>
      <c r="G514" s="4"/>
      <c r="H514" s="4"/>
      <c r="I514" s="5"/>
      <c r="J514" s="4"/>
      <c r="K514" s="4"/>
      <c r="L514" s="4"/>
      <c r="M514" s="4"/>
      <c r="N514" s="5"/>
      <c r="O514" s="5"/>
      <c r="P514" s="5"/>
      <c r="Q514" s="5"/>
      <c r="R514" s="5"/>
      <c r="S514" s="5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</row>
    <row r="515">
      <c r="A515" s="31"/>
      <c r="B515" s="304"/>
      <c r="C515" s="5"/>
      <c r="D515" s="5"/>
      <c r="E515" s="4"/>
      <c r="F515" s="4"/>
      <c r="G515" s="4"/>
      <c r="H515" s="4"/>
      <c r="I515" s="5"/>
      <c r="J515" s="4"/>
      <c r="K515" s="4"/>
      <c r="L515" s="4"/>
      <c r="M515" s="4"/>
      <c r="N515" s="5"/>
      <c r="O515" s="5"/>
      <c r="P515" s="5"/>
      <c r="Q515" s="5"/>
      <c r="R515" s="5"/>
      <c r="S515" s="5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</row>
    <row r="516">
      <c r="A516" s="31"/>
      <c r="B516" s="304"/>
      <c r="C516" s="5"/>
      <c r="D516" s="5"/>
      <c r="E516" s="4"/>
      <c r="F516" s="4"/>
      <c r="G516" s="4"/>
      <c r="H516" s="4"/>
      <c r="I516" s="5"/>
      <c r="J516" s="4"/>
      <c r="K516" s="4"/>
      <c r="L516" s="4"/>
      <c r="M516" s="4"/>
      <c r="N516" s="5"/>
      <c r="O516" s="5"/>
      <c r="P516" s="5"/>
      <c r="Q516" s="5"/>
      <c r="R516" s="5"/>
      <c r="S516" s="5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</row>
    <row r="517">
      <c r="A517" s="31"/>
      <c r="B517" s="304"/>
      <c r="C517" s="5"/>
      <c r="D517" s="5"/>
      <c r="E517" s="4"/>
      <c r="F517" s="4"/>
      <c r="G517" s="4"/>
      <c r="H517" s="4"/>
      <c r="I517" s="5"/>
      <c r="J517" s="4"/>
      <c r="K517" s="4"/>
      <c r="L517" s="4"/>
      <c r="M517" s="4"/>
      <c r="N517" s="5"/>
      <c r="O517" s="5"/>
      <c r="P517" s="5"/>
      <c r="Q517" s="5"/>
      <c r="R517" s="5"/>
      <c r="S517" s="5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</row>
    <row r="518">
      <c r="A518" s="31"/>
      <c r="B518" s="304"/>
      <c r="C518" s="5"/>
      <c r="D518" s="5"/>
      <c r="E518" s="4"/>
      <c r="F518" s="4"/>
      <c r="G518" s="4"/>
      <c r="H518" s="4"/>
      <c r="I518" s="5"/>
      <c r="J518" s="4"/>
      <c r="K518" s="4"/>
      <c r="L518" s="4"/>
      <c r="M518" s="4"/>
      <c r="N518" s="5"/>
      <c r="O518" s="5"/>
      <c r="P518" s="5"/>
      <c r="Q518" s="5"/>
      <c r="R518" s="5"/>
      <c r="S518" s="5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</row>
    <row r="519">
      <c r="A519" s="31"/>
      <c r="B519" s="304"/>
      <c r="C519" s="5"/>
      <c r="D519" s="5"/>
      <c r="E519" s="4"/>
      <c r="F519" s="4"/>
      <c r="G519" s="4"/>
      <c r="H519" s="4"/>
      <c r="I519" s="5"/>
      <c r="J519" s="4"/>
      <c r="K519" s="4"/>
      <c r="L519" s="4"/>
      <c r="M519" s="4"/>
      <c r="N519" s="5"/>
      <c r="O519" s="5"/>
      <c r="P519" s="5"/>
      <c r="Q519" s="5"/>
      <c r="R519" s="5"/>
      <c r="S519" s="5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</row>
    <row r="520">
      <c r="A520" s="31"/>
      <c r="B520" s="304"/>
      <c r="C520" s="5"/>
      <c r="D520" s="5"/>
      <c r="E520" s="4"/>
      <c r="F520" s="4"/>
      <c r="G520" s="4"/>
      <c r="H520" s="4"/>
      <c r="I520" s="5"/>
      <c r="J520" s="4"/>
      <c r="K520" s="4"/>
      <c r="L520" s="4"/>
      <c r="M520" s="4"/>
      <c r="N520" s="5"/>
      <c r="O520" s="5"/>
      <c r="P520" s="5"/>
      <c r="Q520" s="5"/>
      <c r="R520" s="5"/>
      <c r="S520" s="5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</row>
    <row r="521">
      <c r="A521" s="31"/>
      <c r="B521" s="304"/>
      <c r="C521" s="5"/>
      <c r="D521" s="5"/>
      <c r="E521" s="4"/>
      <c r="F521" s="4"/>
      <c r="G521" s="4"/>
      <c r="H521" s="4"/>
      <c r="I521" s="5"/>
      <c r="J521" s="4"/>
      <c r="K521" s="4"/>
      <c r="L521" s="4"/>
      <c r="M521" s="4"/>
      <c r="N521" s="5"/>
      <c r="O521" s="5"/>
      <c r="P521" s="5"/>
      <c r="Q521" s="5"/>
      <c r="R521" s="5"/>
      <c r="S521" s="5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</row>
    <row r="522">
      <c r="A522" s="31"/>
      <c r="B522" s="304"/>
      <c r="C522" s="5"/>
      <c r="D522" s="5"/>
      <c r="E522" s="4"/>
      <c r="F522" s="4"/>
      <c r="G522" s="4"/>
      <c r="H522" s="4"/>
      <c r="I522" s="5"/>
      <c r="J522" s="4"/>
      <c r="K522" s="4"/>
      <c r="L522" s="4"/>
      <c r="M522" s="4"/>
      <c r="N522" s="5"/>
      <c r="O522" s="5"/>
      <c r="P522" s="5"/>
      <c r="Q522" s="5"/>
      <c r="R522" s="5"/>
      <c r="S522" s="5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</row>
    <row r="523">
      <c r="A523" s="31"/>
      <c r="B523" s="304"/>
      <c r="C523" s="5"/>
      <c r="D523" s="5"/>
      <c r="E523" s="4"/>
      <c r="F523" s="4"/>
      <c r="G523" s="4"/>
      <c r="H523" s="4"/>
      <c r="I523" s="5"/>
      <c r="J523" s="4"/>
      <c r="K523" s="4"/>
      <c r="L523" s="4"/>
      <c r="M523" s="4"/>
      <c r="N523" s="5"/>
      <c r="O523" s="5"/>
      <c r="P523" s="5"/>
      <c r="Q523" s="5"/>
      <c r="R523" s="5"/>
      <c r="S523" s="5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</row>
    <row r="524">
      <c r="A524" s="31"/>
      <c r="B524" s="304"/>
      <c r="C524" s="5"/>
      <c r="D524" s="5"/>
      <c r="E524" s="4"/>
      <c r="F524" s="4"/>
      <c r="G524" s="4"/>
      <c r="H524" s="4"/>
      <c r="I524" s="5"/>
      <c r="J524" s="4"/>
      <c r="K524" s="4"/>
      <c r="L524" s="4"/>
      <c r="M524" s="4"/>
      <c r="N524" s="5"/>
      <c r="O524" s="5"/>
      <c r="P524" s="5"/>
      <c r="Q524" s="5"/>
      <c r="R524" s="5"/>
      <c r="S524" s="5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</row>
    <row r="525">
      <c r="A525" s="31"/>
      <c r="B525" s="304"/>
      <c r="C525" s="5"/>
      <c r="D525" s="5"/>
      <c r="E525" s="4"/>
      <c r="F525" s="4"/>
      <c r="G525" s="4"/>
      <c r="H525" s="4"/>
      <c r="I525" s="5"/>
      <c r="J525" s="4"/>
      <c r="K525" s="4"/>
      <c r="L525" s="4"/>
      <c r="M525" s="4"/>
      <c r="N525" s="5"/>
      <c r="O525" s="5"/>
      <c r="P525" s="5"/>
      <c r="Q525" s="5"/>
      <c r="R525" s="5"/>
      <c r="S525" s="5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</row>
    <row r="526">
      <c r="A526" s="31"/>
      <c r="B526" s="304"/>
      <c r="C526" s="5"/>
      <c r="D526" s="5"/>
      <c r="E526" s="4"/>
      <c r="F526" s="4"/>
      <c r="G526" s="4"/>
      <c r="H526" s="4"/>
      <c r="I526" s="5"/>
      <c r="J526" s="4"/>
      <c r="K526" s="4"/>
      <c r="L526" s="4"/>
      <c r="M526" s="4"/>
      <c r="N526" s="5"/>
      <c r="O526" s="5"/>
      <c r="P526" s="5"/>
      <c r="Q526" s="5"/>
      <c r="R526" s="5"/>
      <c r="S526" s="5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</row>
    <row r="527">
      <c r="A527" s="31"/>
      <c r="B527" s="304"/>
      <c r="C527" s="5"/>
      <c r="D527" s="5"/>
      <c r="E527" s="4"/>
      <c r="F527" s="4"/>
      <c r="G527" s="4"/>
      <c r="H527" s="4"/>
      <c r="I527" s="5"/>
      <c r="J527" s="4"/>
      <c r="K527" s="4"/>
      <c r="L527" s="4"/>
      <c r="M527" s="4"/>
      <c r="N527" s="5"/>
      <c r="O527" s="5"/>
      <c r="P527" s="5"/>
      <c r="Q527" s="5"/>
      <c r="R527" s="5"/>
      <c r="S527" s="5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</row>
    <row r="528">
      <c r="A528" s="31"/>
      <c r="B528" s="304"/>
      <c r="C528" s="5"/>
      <c r="D528" s="5"/>
      <c r="E528" s="4"/>
      <c r="F528" s="4"/>
      <c r="G528" s="4"/>
      <c r="H528" s="4"/>
      <c r="I528" s="5"/>
      <c r="J528" s="4"/>
      <c r="K528" s="4"/>
      <c r="L528" s="4"/>
      <c r="M528" s="4"/>
      <c r="N528" s="5"/>
      <c r="O528" s="5"/>
      <c r="P528" s="5"/>
      <c r="Q528" s="5"/>
      <c r="R528" s="5"/>
      <c r="S528" s="5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</row>
    <row r="529">
      <c r="A529" s="31"/>
      <c r="B529" s="304"/>
      <c r="C529" s="5"/>
      <c r="D529" s="5"/>
      <c r="E529" s="4"/>
      <c r="F529" s="4"/>
      <c r="G529" s="4"/>
      <c r="H529" s="4"/>
      <c r="I529" s="5"/>
      <c r="J529" s="4"/>
      <c r="K529" s="4"/>
      <c r="L529" s="4"/>
      <c r="M529" s="4"/>
      <c r="N529" s="5"/>
      <c r="O529" s="5"/>
      <c r="P529" s="5"/>
      <c r="Q529" s="5"/>
      <c r="R529" s="5"/>
      <c r="S529" s="5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</row>
    <row r="530">
      <c r="A530" s="31"/>
      <c r="B530" s="304"/>
      <c r="C530" s="5"/>
      <c r="D530" s="5"/>
      <c r="E530" s="4"/>
      <c r="F530" s="4"/>
      <c r="G530" s="4"/>
      <c r="H530" s="4"/>
      <c r="I530" s="5"/>
      <c r="J530" s="4"/>
      <c r="K530" s="4"/>
      <c r="L530" s="4"/>
      <c r="M530" s="4"/>
      <c r="N530" s="5"/>
      <c r="O530" s="5"/>
      <c r="P530" s="5"/>
      <c r="Q530" s="5"/>
      <c r="R530" s="5"/>
      <c r="S530" s="5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</row>
    <row r="531">
      <c r="A531" s="31"/>
      <c r="B531" s="304"/>
      <c r="C531" s="5"/>
      <c r="D531" s="5"/>
      <c r="E531" s="4"/>
      <c r="F531" s="4"/>
      <c r="G531" s="4"/>
      <c r="H531" s="4"/>
      <c r="I531" s="5"/>
      <c r="J531" s="4"/>
      <c r="K531" s="4"/>
      <c r="L531" s="4"/>
      <c r="M531" s="4"/>
      <c r="N531" s="5"/>
      <c r="O531" s="5"/>
      <c r="P531" s="5"/>
      <c r="Q531" s="5"/>
      <c r="R531" s="5"/>
      <c r="S531" s="5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</row>
    <row r="532">
      <c r="A532" s="31"/>
      <c r="B532" s="304"/>
      <c r="C532" s="5"/>
      <c r="D532" s="5"/>
      <c r="E532" s="4"/>
      <c r="F532" s="4"/>
      <c r="G532" s="4"/>
      <c r="H532" s="4"/>
      <c r="I532" s="5"/>
      <c r="J532" s="4"/>
      <c r="K532" s="4"/>
      <c r="L532" s="4"/>
      <c r="M532" s="4"/>
      <c r="N532" s="5"/>
      <c r="O532" s="5"/>
      <c r="P532" s="5"/>
      <c r="Q532" s="5"/>
      <c r="R532" s="5"/>
      <c r="S532" s="5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</row>
    <row r="533">
      <c r="A533" s="31"/>
      <c r="B533" s="304"/>
      <c r="C533" s="5"/>
      <c r="D533" s="5"/>
      <c r="E533" s="4"/>
      <c r="F533" s="4"/>
      <c r="G533" s="4"/>
      <c r="H533" s="4"/>
      <c r="I533" s="5"/>
      <c r="J533" s="4"/>
      <c r="K533" s="4"/>
      <c r="L533" s="4"/>
      <c r="M533" s="4"/>
      <c r="N533" s="5"/>
      <c r="O533" s="5"/>
      <c r="P533" s="5"/>
      <c r="Q533" s="5"/>
      <c r="R533" s="5"/>
      <c r="S533" s="5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</row>
    <row r="534">
      <c r="A534" s="31"/>
      <c r="B534" s="304"/>
      <c r="C534" s="5"/>
      <c r="D534" s="5"/>
      <c r="E534" s="4"/>
      <c r="F534" s="4"/>
      <c r="G534" s="4"/>
      <c r="H534" s="4"/>
      <c r="I534" s="5"/>
      <c r="J534" s="4"/>
      <c r="K534" s="4"/>
      <c r="L534" s="4"/>
      <c r="M534" s="4"/>
      <c r="N534" s="5"/>
      <c r="O534" s="5"/>
      <c r="P534" s="5"/>
      <c r="Q534" s="5"/>
      <c r="R534" s="5"/>
      <c r="S534" s="5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</row>
    <row r="535">
      <c r="A535" s="31"/>
      <c r="B535" s="304"/>
      <c r="C535" s="5"/>
      <c r="D535" s="5"/>
      <c r="E535" s="4"/>
      <c r="F535" s="4"/>
      <c r="G535" s="4"/>
      <c r="H535" s="4"/>
      <c r="I535" s="5"/>
      <c r="J535" s="4"/>
      <c r="K535" s="4"/>
      <c r="L535" s="4"/>
      <c r="M535" s="4"/>
      <c r="N535" s="5"/>
      <c r="O535" s="5"/>
      <c r="P535" s="5"/>
      <c r="Q535" s="5"/>
      <c r="R535" s="5"/>
      <c r="S535" s="5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</row>
    <row r="536">
      <c r="A536" s="31"/>
      <c r="B536" s="304"/>
      <c r="C536" s="5"/>
      <c r="D536" s="5"/>
      <c r="E536" s="4"/>
      <c r="F536" s="4"/>
      <c r="G536" s="4"/>
      <c r="H536" s="4"/>
      <c r="I536" s="5"/>
      <c r="J536" s="4"/>
      <c r="K536" s="4"/>
      <c r="L536" s="4"/>
      <c r="M536" s="4"/>
      <c r="N536" s="5"/>
      <c r="O536" s="5"/>
      <c r="P536" s="5"/>
      <c r="Q536" s="5"/>
      <c r="R536" s="5"/>
      <c r="S536" s="5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</row>
    <row r="537">
      <c r="A537" s="31"/>
      <c r="B537" s="304"/>
      <c r="C537" s="5"/>
      <c r="D537" s="5"/>
      <c r="E537" s="4"/>
      <c r="F537" s="4"/>
      <c r="G537" s="4"/>
      <c r="H537" s="4"/>
      <c r="I537" s="5"/>
      <c r="J537" s="4"/>
      <c r="K537" s="4"/>
      <c r="L537" s="4"/>
      <c r="M537" s="4"/>
      <c r="N537" s="5"/>
      <c r="O537" s="5"/>
      <c r="P537" s="5"/>
      <c r="Q537" s="5"/>
      <c r="R537" s="5"/>
      <c r="S537" s="5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</row>
    <row r="538">
      <c r="A538" s="31"/>
      <c r="B538" s="304"/>
      <c r="C538" s="5"/>
      <c r="D538" s="5"/>
      <c r="E538" s="4"/>
      <c r="F538" s="4"/>
      <c r="G538" s="4"/>
      <c r="H538" s="4"/>
      <c r="I538" s="5"/>
      <c r="J538" s="4"/>
      <c r="K538" s="4"/>
      <c r="L538" s="4"/>
      <c r="M538" s="4"/>
      <c r="N538" s="5"/>
      <c r="O538" s="5"/>
      <c r="P538" s="5"/>
      <c r="Q538" s="5"/>
      <c r="R538" s="5"/>
      <c r="S538" s="5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</row>
    <row r="539">
      <c r="A539" s="31"/>
      <c r="B539" s="304"/>
      <c r="C539" s="5"/>
      <c r="D539" s="5"/>
      <c r="E539" s="4"/>
      <c r="F539" s="4"/>
      <c r="G539" s="4"/>
      <c r="H539" s="4"/>
      <c r="I539" s="5"/>
      <c r="J539" s="4"/>
      <c r="K539" s="4"/>
      <c r="L539" s="4"/>
      <c r="M539" s="4"/>
      <c r="N539" s="5"/>
      <c r="O539" s="5"/>
      <c r="P539" s="5"/>
      <c r="Q539" s="5"/>
      <c r="R539" s="5"/>
      <c r="S539" s="5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</row>
    <row r="540">
      <c r="A540" s="31"/>
      <c r="B540" s="304"/>
      <c r="C540" s="5"/>
      <c r="D540" s="5"/>
      <c r="E540" s="4"/>
      <c r="F540" s="4"/>
      <c r="G540" s="4"/>
      <c r="H540" s="4"/>
      <c r="I540" s="5"/>
      <c r="J540" s="4"/>
      <c r="K540" s="4"/>
      <c r="L540" s="4"/>
      <c r="M540" s="4"/>
      <c r="N540" s="5"/>
      <c r="O540" s="5"/>
      <c r="P540" s="5"/>
      <c r="Q540" s="5"/>
      <c r="R540" s="5"/>
      <c r="S540" s="5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</row>
    <row r="541">
      <c r="A541" s="31"/>
      <c r="B541" s="304"/>
      <c r="C541" s="5"/>
      <c r="D541" s="5"/>
      <c r="E541" s="4"/>
      <c r="F541" s="4"/>
      <c r="G541" s="4"/>
      <c r="H541" s="4"/>
      <c r="I541" s="5"/>
      <c r="J541" s="4"/>
      <c r="K541" s="4"/>
      <c r="L541" s="4"/>
      <c r="M541" s="4"/>
      <c r="N541" s="5"/>
      <c r="O541" s="5"/>
      <c r="P541" s="5"/>
      <c r="Q541" s="5"/>
      <c r="R541" s="5"/>
      <c r="S541" s="5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</row>
    <row r="542">
      <c r="A542" s="31"/>
      <c r="B542" s="304"/>
      <c r="C542" s="5"/>
      <c r="D542" s="5"/>
      <c r="E542" s="4"/>
      <c r="F542" s="4"/>
      <c r="G542" s="4"/>
      <c r="H542" s="4"/>
      <c r="I542" s="5"/>
      <c r="J542" s="4"/>
      <c r="K542" s="4"/>
      <c r="L542" s="4"/>
      <c r="M542" s="4"/>
      <c r="N542" s="5"/>
      <c r="O542" s="5"/>
      <c r="P542" s="5"/>
      <c r="Q542" s="5"/>
      <c r="R542" s="5"/>
      <c r="S542" s="5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</row>
    <row r="543">
      <c r="A543" s="31"/>
      <c r="B543" s="304"/>
      <c r="C543" s="5"/>
      <c r="D543" s="5"/>
      <c r="E543" s="4"/>
      <c r="F543" s="4"/>
      <c r="G543" s="4"/>
      <c r="H543" s="4"/>
      <c r="I543" s="5"/>
      <c r="J543" s="4"/>
      <c r="K543" s="4"/>
      <c r="L543" s="4"/>
      <c r="M543" s="4"/>
      <c r="N543" s="5"/>
      <c r="O543" s="5"/>
      <c r="P543" s="5"/>
      <c r="Q543" s="5"/>
      <c r="R543" s="5"/>
      <c r="S543" s="5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</row>
    <row r="544">
      <c r="A544" s="31"/>
      <c r="B544" s="304"/>
      <c r="C544" s="5"/>
      <c r="D544" s="5"/>
      <c r="E544" s="4"/>
      <c r="F544" s="4"/>
      <c r="G544" s="4"/>
      <c r="H544" s="4"/>
      <c r="I544" s="5"/>
      <c r="J544" s="4"/>
      <c r="K544" s="4"/>
      <c r="L544" s="4"/>
      <c r="M544" s="4"/>
      <c r="N544" s="5"/>
      <c r="O544" s="5"/>
      <c r="P544" s="5"/>
      <c r="Q544" s="5"/>
      <c r="R544" s="5"/>
      <c r="S544" s="5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</row>
    <row r="545">
      <c r="A545" s="31"/>
      <c r="B545" s="304"/>
      <c r="C545" s="5"/>
      <c r="D545" s="5"/>
      <c r="E545" s="4"/>
      <c r="F545" s="4"/>
      <c r="G545" s="4"/>
      <c r="H545" s="4"/>
      <c r="I545" s="5"/>
      <c r="J545" s="4"/>
      <c r="K545" s="4"/>
      <c r="L545" s="4"/>
      <c r="M545" s="4"/>
      <c r="N545" s="5"/>
      <c r="O545" s="5"/>
      <c r="P545" s="5"/>
      <c r="Q545" s="5"/>
      <c r="R545" s="5"/>
      <c r="S545" s="5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</row>
    <row r="546">
      <c r="A546" s="31"/>
      <c r="B546" s="304"/>
      <c r="C546" s="5"/>
      <c r="D546" s="5"/>
      <c r="E546" s="4"/>
      <c r="F546" s="4"/>
      <c r="G546" s="4"/>
      <c r="H546" s="4"/>
      <c r="I546" s="5"/>
      <c r="J546" s="4"/>
      <c r="K546" s="4"/>
      <c r="L546" s="4"/>
      <c r="M546" s="4"/>
      <c r="N546" s="5"/>
      <c r="O546" s="5"/>
      <c r="P546" s="5"/>
      <c r="Q546" s="5"/>
      <c r="R546" s="5"/>
      <c r="S546" s="5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</row>
    <row r="547">
      <c r="A547" s="31"/>
      <c r="B547" s="304"/>
      <c r="C547" s="5"/>
      <c r="D547" s="5"/>
      <c r="E547" s="4"/>
      <c r="F547" s="4"/>
      <c r="G547" s="4"/>
      <c r="H547" s="4"/>
      <c r="I547" s="5"/>
      <c r="J547" s="4"/>
      <c r="K547" s="4"/>
      <c r="L547" s="4"/>
      <c r="M547" s="4"/>
      <c r="N547" s="5"/>
      <c r="O547" s="5"/>
      <c r="P547" s="5"/>
      <c r="Q547" s="5"/>
      <c r="R547" s="5"/>
      <c r="S547" s="5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</row>
    <row r="548">
      <c r="A548" s="31"/>
      <c r="B548" s="304"/>
      <c r="C548" s="5"/>
      <c r="D548" s="5"/>
      <c r="E548" s="4"/>
      <c r="F548" s="4"/>
      <c r="G548" s="4"/>
      <c r="H548" s="4"/>
      <c r="I548" s="5"/>
      <c r="J548" s="4"/>
      <c r="K548" s="4"/>
      <c r="L548" s="4"/>
      <c r="M548" s="4"/>
      <c r="N548" s="5"/>
      <c r="O548" s="5"/>
      <c r="P548" s="5"/>
      <c r="Q548" s="5"/>
      <c r="R548" s="5"/>
      <c r="S548" s="5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</row>
    <row r="549">
      <c r="A549" s="31"/>
      <c r="B549" s="304"/>
      <c r="C549" s="5"/>
      <c r="D549" s="5"/>
      <c r="E549" s="4"/>
      <c r="F549" s="4"/>
      <c r="G549" s="4"/>
      <c r="H549" s="4"/>
      <c r="I549" s="5"/>
      <c r="J549" s="4"/>
      <c r="K549" s="4"/>
      <c r="L549" s="4"/>
      <c r="M549" s="4"/>
      <c r="N549" s="5"/>
      <c r="O549" s="5"/>
      <c r="P549" s="5"/>
      <c r="Q549" s="5"/>
      <c r="R549" s="5"/>
      <c r="S549" s="5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</row>
    <row r="550">
      <c r="A550" s="31"/>
      <c r="B550" s="304"/>
      <c r="C550" s="5"/>
      <c r="D550" s="5"/>
      <c r="E550" s="4"/>
      <c r="F550" s="4"/>
      <c r="G550" s="4"/>
      <c r="H550" s="4"/>
      <c r="I550" s="5"/>
      <c r="J550" s="4"/>
      <c r="K550" s="4"/>
      <c r="L550" s="4"/>
      <c r="M550" s="4"/>
      <c r="N550" s="5"/>
      <c r="O550" s="5"/>
      <c r="P550" s="5"/>
      <c r="Q550" s="5"/>
      <c r="R550" s="5"/>
      <c r="S550" s="5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</row>
    <row r="551">
      <c r="A551" s="31"/>
      <c r="B551" s="304"/>
      <c r="C551" s="5"/>
      <c r="D551" s="5"/>
      <c r="E551" s="4"/>
      <c r="F551" s="4"/>
      <c r="G551" s="4"/>
      <c r="H551" s="4"/>
      <c r="I551" s="5"/>
      <c r="J551" s="4"/>
      <c r="K551" s="4"/>
      <c r="L551" s="4"/>
      <c r="M551" s="4"/>
      <c r="N551" s="5"/>
      <c r="O551" s="5"/>
      <c r="P551" s="5"/>
      <c r="Q551" s="5"/>
      <c r="R551" s="5"/>
      <c r="S551" s="5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</row>
    <row r="552">
      <c r="A552" s="31"/>
      <c r="B552" s="304"/>
      <c r="C552" s="5"/>
      <c r="D552" s="5"/>
      <c r="E552" s="4"/>
      <c r="F552" s="4"/>
      <c r="G552" s="4"/>
      <c r="H552" s="4"/>
      <c r="I552" s="5"/>
      <c r="J552" s="4"/>
      <c r="K552" s="4"/>
      <c r="L552" s="4"/>
      <c r="M552" s="4"/>
      <c r="N552" s="5"/>
      <c r="O552" s="5"/>
      <c r="P552" s="5"/>
      <c r="Q552" s="5"/>
      <c r="R552" s="5"/>
      <c r="S552" s="5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</row>
    <row r="553">
      <c r="A553" s="31"/>
      <c r="B553" s="304"/>
      <c r="C553" s="5"/>
      <c r="D553" s="5"/>
      <c r="E553" s="4"/>
      <c r="F553" s="4"/>
      <c r="G553" s="4"/>
      <c r="H553" s="4"/>
      <c r="I553" s="5"/>
      <c r="J553" s="4"/>
      <c r="K553" s="4"/>
      <c r="L553" s="4"/>
      <c r="M553" s="4"/>
      <c r="N553" s="5"/>
      <c r="O553" s="5"/>
      <c r="P553" s="5"/>
      <c r="Q553" s="5"/>
      <c r="R553" s="5"/>
      <c r="S553" s="5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</row>
    <row r="554">
      <c r="A554" s="31"/>
      <c r="B554" s="304"/>
      <c r="C554" s="5"/>
      <c r="D554" s="5"/>
      <c r="E554" s="4"/>
      <c r="F554" s="4"/>
      <c r="G554" s="4"/>
      <c r="H554" s="4"/>
      <c r="I554" s="5"/>
      <c r="J554" s="4"/>
      <c r="K554" s="4"/>
      <c r="L554" s="4"/>
      <c r="M554" s="4"/>
      <c r="N554" s="5"/>
      <c r="O554" s="5"/>
      <c r="P554" s="5"/>
      <c r="Q554" s="5"/>
      <c r="R554" s="5"/>
      <c r="S554" s="5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</row>
    <row r="555">
      <c r="A555" s="31"/>
      <c r="B555" s="304"/>
      <c r="C555" s="5"/>
      <c r="D555" s="5"/>
      <c r="E555" s="4"/>
      <c r="F555" s="4"/>
      <c r="G555" s="4"/>
      <c r="H555" s="4"/>
      <c r="I555" s="5"/>
      <c r="J555" s="4"/>
      <c r="K555" s="4"/>
      <c r="L555" s="4"/>
      <c r="M555" s="4"/>
      <c r="N555" s="5"/>
      <c r="O555" s="5"/>
      <c r="P555" s="5"/>
      <c r="Q555" s="5"/>
      <c r="R555" s="5"/>
      <c r="S555" s="5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</row>
    <row r="556">
      <c r="A556" s="31"/>
      <c r="B556" s="304"/>
      <c r="C556" s="5"/>
      <c r="D556" s="5"/>
      <c r="E556" s="4"/>
      <c r="F556" s="4"/>
      <c r="G556" s="4"/>
      <c r="H556" s="4"/>
      <c r="I556" s="5"/>
      <c r="J556" s="4"/>
      <c r="K556" s="4"/>
      <c r="L556" s="4"/>
      <c r="M556" s="4"/>
      <c r="N556" s="5"/>
      <c r="O556" s="5"/>
      <c r="P556" s="5"/>
      <c r="Q556" s="5"/>
      <c r="R556" s="5"/>
      <c r="S556" s="5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</row>
    <row r="557">
      <c r="A557" s="31"/>
      <c r="B557" s="304"/>
      <c r="C557" s="5"/>
      <c r="D557" s="5"/>
      <c r="E557" s="4"/>
      <c r="F557" s="4"/>
      <c r="G557" s="4"/>
      <c r="H557" s="4"/>
      <c r="I557" s="5"/>
      <c r="J557" s="4"/>
      <c r="K557" s="4"/>
      <c r="L557" s="4"/>
      <c r="M557" s="4"/>
      <c r="N557" s="5"/>
      <c r="O557" s="5"/>
      <c r="P557" s="5"/>
      <c r="Q557" s="5"/>
      <c r="R557" s="5"/>
      <c r="S557" s="5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</row>
    <row r="558">
      <c r="A558" s="31"/>
      <c r="B558" s="304"/>
      <c r="C558" s="5"/>
      <c r="D558" s="5"/>
      <c r="E558" s="4"/>
      <c r="F558" s="4"/>
      <c r="G558" s="4"/>
      <c r="H558" s="4"/>
      <c r="I558" s="5"/>
      <c r="J558" s="4"/>
      <c r="K558" s="4"/>
      <c r="L558" s="4"/>
      <c r="M558" s="4"/>
      <c r="N558" s="5"/>
      <c r="O558" s="5"/>
      <c r="P558" s="5"/>
      <c r="Q558" s="5"/>
      <c r="R558" s="5"/>
      <c r="S558" s="5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</row>
    <row r="559">
      <c r="A559" s="31"/>
      <c r="B559" s="304"/>
      <c r="C559" s="5"/>
      <c r="D559" s="5"/>
      <c r="E559" s="4"/>
      <c r="F559" s="4"/>
      <c r="G559" s="4"/>
      <c r="H559" s="4"/>
      <c r="I559" s="5"/>
      <c r="J559" s="4"/>
      <c r="K559" s="4"/>
      <c r="L559" s="4"/>
      <c r="M559" s="4"/>
      <c r="N559" s="5"/>
      <c r="O559" s="5"/>
      <c r="P559" s="5"/>
      <c r="Q559" s="5"/>
      <c r="R559" s="5"/>
      <c r="S559" s="5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</row>
    <row r="560">
      <c r="A560" s="31"/>
      <c r="B560" s="304"/>
      <c r="C560" s="5"/>
      <c r="D560" s="5"/>
      <c r="E560" s="4"/>
      <c r="F560" s="4"/>
      <c r="G560" s="4"/>
      <c r="H560" s="4"/>
      <c r="I560" s="5"/>
      <c r="J560" s="4"/>
      <c r="K560" s="4"/>
      <c r="L560" s="4"/>
      <c r="M560" s="4"/>
      <c r="N560" s="5"/>
      <c r="O560" s="5"/>
      <c r="P560" s="5"/>
      <c r="Q560" s="5"/>
      <c r="R560" s="5"/>
      <c r="S560" s="5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</row>
    <row r="561">
      <c r="A561" s="31"/>
      <c r="B561" s="304"/>
      <c r="C561" s="5"/>
      <c r="D561" s="5"/>
      <c r="E561" s="4"/>
      <c r="F561" s="4"/>
      <c r="G561" s="4"/>
      <c r="H561" s="4"/>
      <c r="I561" s="5"/>
      <c r="J561" s="4"/>
      <c r="K561" s="4"/>
      <c r="L561" s="4"/>
      <c r="M561" s="4"/>
      <c r="N561" s="5"/>
      <c r="O561" s="5"/>
      <c r="P561" s="5"/>
      <c r="Q561" s="5"/>
      <c r="R561" s="5"/>
      <c r="S561" s="5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</row>
    <row r="562">
      <c r="A562" s="31"/>
      <c r="B562" s="304"/>
      <c r="C562" s="5"/>
      <c r="D562" s="5"/>
      <c r="E562" s="4"/>
      <c r="F562" s="4"/>
      <c r="G562" s="4"/>
      <c r="H562" s="4"/>
      <c r="I562" s="5"/>
      <c r="J562" s="4"/>
      <c r="K562" s="4"/>
      <c r="L562" s="4"/>
      <c r="M562" s="4"/>
      <c r="N562" s="5"/>
      <c r="O562" s="5"/>
      <c r="P562" s="5"/>
      <c r="Q562" s="5"/>
      <c r="R562" s="5"/>
      <c r="S562" s="5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</row>
    <row r="563">
      <c r="A563" s="31"/>
      <c r="B563" s="304"/>
      <c r="C563" s="5"/>
      <c r="D563" s="5"/>
      <c r="E563" s="4"/>
      <c r="F563" s="4"/>
      <c r="G563" s="4"/>
      <c r="H563" s="4"/>
      <c r="I563" s="5"/>
      <c r="J563" s="4"/>
      <c r="K563" s="4"/>
      <c r="L563" s="4"/>
      <c r="M563" s="4"/>
      <c r="N563" s="5"/>
      <c r="O563" s="5"/>
      <c r="P563" s="5"/>
      <c r="Q563" s="5"/>
      <c r="R563" s="5"/>
      <c r="S563" s="5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</row>
    <row r="564">
      <c r="A564" s="31"/>
      <c r="B564" s="304"/>
      <c r="C564" s="5"/>
      <c r="D564" s="5"/>
      <c r="E564" s="4"/>
      <c r="F564" s="4"/>
      <c r="G564" s="4"/>
      <c r="H564" s="4"/>
      <c r="I564" s="5"/>
      <c r="J564" s="4"/>
      <c r="K564" s="4"/>
      <c r="L564" s="4"/>
      <c r="M564" s="4"/>
      <c r="N564" s="5"/>
      <c r="O564" s="5"/>
      <c r="P564" s="5"/>
      <c r="Q564" s="5"/>
      <c r="R564" s="5"/>
      <c r="S564" s="5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</row>
    <row r="565">
      <c r="A565" s="31"/>
      <c r="B565" s="304"/>
      <c r="C565" s="5"/>
      <c r="D565" s="5"/>
      <c r="E565" s="4"/>
      <c r="F565" s="4"/>
      <c r="G565" s="4"/>
      <c r="H565" s="4"/>
      <c r="I565" s="5"/>
      <c r="J565" s="4"/>
      <c r="K565" s="4"/>
      <c r="L565" s="4"/>
      <c r="M565" s="4"/>
      <c r="N565" s="5"/>
      <c r="O565" s="5"/>
      <c r="P565" s="5"/>
      <c r="Q565" s="5"/>
      <c r="R565" s="5"/>
      <c r="S565" s="5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</row>
    <row r="566">
      <c r="A566" s="31"/>
      <c r="B566" s="304"/>
      <c r="C566" s="5"/>
      <c r="D566" s="5"/>
      <c r="E566" s="4"/>
      <c r="F566" s="4"/>
      <c r="G566" s="4"/>
      <c r="H566" s="4"/>
      <c r="I566" s="5"/>
      <c r="J566" s="4"/>
      <c r="K566" s="4"/>
      <c r="L566" s="4"/>
      <c r="M566" s="4"/>
      <c r="N566" s="5"/>
      <c r="O566" s="5"/>
      <c r="P566" s="5"/>
      <c r="Q566" s="5"/>
      <c r="R566" s="5"/>
      <c r="S566" s="5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</row>
    <row r="567">
      <c r="A567" s="31"/>
      <c r="B567" s="304"/>
      <c r="C567" s="5"/>
      <c r="D567" s="5"/>
      <c r="E567" s="4"/>
      <c r="F567" s="4"/>
      <c r="G567" s="4"/>
      <c r="H567" s="4"/>
      <c r="I567" s="5"/>
      <c r="J567" s="4"/>
      <c r="K567" s="4"/>
      <c r="L567" s="4"/>
      <c r="M567" s="4"/>
      <c r="N567" s="5"/>
      <c r="O567" s="5"/>
      <c r="P567" s="5"/>
      <c r="Q567" s="5"/>
      <c r="R567" s="5"/>
      <c r="S567" s="5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</row>
    <row r="568">
      <c r="A568" s="31"/>
      <c r="B568" s="304"/>
      <c r="C568" s="5"/>
      <c r="D568" s="5"/>
      <c r="E568" s="4"/>
      <c r="F568" s="4"/>
      <c r="G568" s="4"/>
      <c r="H568" s="4"/>
      <c r="I568" s="5"/>
      <c r="J568" s="4"/>
      <c r="K568" s="4"/>
      <c r="L568" s="4"/>
      <c r="M568" s="4"/>
      <c r="N568" s="5"/>
      <c r="O568" s="5"/>
      <c r="P568" s="5"/>
      <c r="Q568" s="5"/>
      <c r="R568" s="5"/>
      <c r="S568" s="5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</row>
    <row r="569">
      <c r="A569" s="31"/>
      <c r="B569" s="304"/>
      <c r="C569" s="5"/>
      <c r="D569" s="5"/>
      <c r="E569" s="4"/>
      <c r="F569" s="4"/>
      <c r="G569" s="4"/>
      <c r="H569" s="4"/>
      <c r="I569" s="5"/>
      <c r="J569" s="4"/>
      <c r="K569" s="4"/>
      <c r="L569" s="4"/>
      <c r="M569" s="4"/>
      <c r="N569" s="5"/>
      <c r="O569" s="5"/>
      <c r="P569" s="5"/>
      <c r="Q569" s="5"/>
      <c r="R569" s="5"/>
      <c r="S569" s="5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</row>
    <row r="570">
      <c r="A570" s="31"/>
      <c r="B570" s="304"/>
      <c r="C570" s="5"/>
      <c r="D570" s="5"/>
      <c r="E570" s="4"/>
      <c r="F570" s="4"/>
      <c r="G570" s="4"/>
      <c r="H570" s="4"/>
      <c r="I570" s="5"/>
      <c r="J570" s="4"/>
      <c r="K570" s="4"/>
      <c r="L570" s="4"/>
      <c r="M570" s="4"/>
      <c r="N570" s="5"/>
      <c r="O570" s="5"/>
      <c r="P570" s="5"/>
      <c r="Q570" s="5"/>
      <c r="R570" s="5"/>
      <c r="S570" s="5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</row>
    <row r="571">
      <c r="A571" s="31"/>
      <c r="B571" s="304"/>
      <c r="C571" s="5"/>
      <c r="D571" s="5"/>
      <c r="E571" s="4"/>
      <c r="F571" s="4"/>
      <c r="G571" s="4"/>
      <c r="H571" s="4"/>
      <c r="I571" s="5"/>
      <c r="J571" s="4"/>
      <c r="K571" s="4"/>
      <c r="L571" s="4"/>
      <c r="M571" s="4"/>
      <c r="N571" s="5"/>
      <c r="O571" s="5"/>
      <c r="P571" s="5"/>
      <c r="Q571" s="5"/>
      <c r="R571" s="5"/>
      <c r="S571" s="5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</row>
    <row r="572">
      <c r="A572" s="31"/>
      <c r="B572" s="304"/>
      <c r="C572" s="5"/>
      <c r="D572" s="5"/>
      <c r="E572" s="4"/>
      <c r="F572" s="4"/>
      <c r="G572" s="4"/>
      <c r="H572" s="4"/>
      <c r="I572" s="5"/>
      <c r="J572" s="4"/>
      <c r="K572" s="4"/>
      <c r="L572" s="4"/>
      <c r="M572" s="4"/>
      <c r="N572" s="5"/>
      <c r="O572" s="5"/>
      <c r="P572" s="5"/>
      <c r="Q572" s="5"/>
      <c r="R572" s="5"/>
      <c r="S572" s="5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</row>
    <row r="573">
      <c r="A573" s="31"/>
      <c r="B573" s="304"/>
      <c r="C573" s="5"/>
      <c r="D573" s="5"/>
      <c r="E573" s="4"/>
      <c r="F573" s="4"/>
      <c r="G573" s="4"/>
      <c r="H573" s="4"/>
      <c r="I573" s="5"/>
      <c r="J573" s="4"/>
      <c r="K573" s="4"/>
      <c r="L573" s="4"/>
      <c r="M573" s="4"/>
      <c r="N573" s="5"/>
      <c r="O573" s="5"/>
      <c r="P573" s="5"/>
      <c r="Q573" s="5"/>
      <c r="R573" s="5"/>
      <c r="S573" s="5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</row>
    <row r="574">
      <c r="A574" s="31"/>
      <c r="B574" s="304"/>
      <c r="C574" s="5"/>
      <c r="D574" s="5"/>
      <c r="E574" s="4"/>
      <c r="F574" s="4"/>
      <c r="G574" s="4"/>
      <c r="H574" s="4"/>
      <c r="I574" s="5"/>
      <c r="J574" s="4"/>
      <c r="K574" s="4"/>
      <c r="L574" s="4"/>
      <c r="M574" s="4"/>
      <c r="N574" s="5"/>
      <c r="O574" s="5"/>
      <c r="P574" s="5"/>
      <c r="Q574" s="5"/>
      <c r="R574" s="5"/>
      <c r="S574" s="5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</row>
    <row r="575">
      <c r="A575" s="31"/>
      <c r="B575" s="304"/>
      <c r="C575" s="5"/>
      <c r="D575" s="5"/>
      <c r="E575" s="4"/>
      <c r="F575" s="4"/>
      <c r="G575" s="4"/>
      <c r="H575" s="4"/>
      <c r="I575" s="5"/>
      <c r="J575" s="4"/>
      <c r="K575" s="4"/>
      <c r="L575" s="4"/>
      <c r="M575" s="4"/>
      <c r="N575" s="5"/>
      <c r="O575" s="5"/>
      <c r="P575" s="5"/>
      <c r="Q575" s="5"/>
      <c r="R575" s="5"/>
      <c r="S575" s="5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</row>
    <row r="576">
      <c r="A576" s="31"/>
      <c r="B576" s="304"/>
      <c r="C576" s="5"/>
      <c r="D576" s="5"/>
      <c r="E576" s="4"/>
      <c r="F576" s="4"/>
      <c r="G576" s="4"/>
      <c r="H576" s="4"/>
      <c r="I576" s="5"/>
      <c r="J576" s="4"/>
      <c r="K576" s="4"/>
      <c r="L576" s="4"/>
      <c r="M576" s="4"/>
      <c r="N576" s="5"/>
      <c r="O576" s="5"/>
      <c r="P576" s="5"/>
      <c r="Q576" s="5"/>
      <c r="R576" s="5"/>
      <c r="S576" s="5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</row>
    <row r="577">
      <c r="A577" s="31"/>
      <c r="B577" s="304"/>
      <c r="C577" s="5"/>
      <c r="D577" s="5"/>
      <c r="E577" s="4"/>
      <c r="F577" s="4"/>
      <c r="G577" s="4"/>
      <c r="H577" s="4"/>
      <c r="I577" s="5"/>
      <c r="J577" s="4"/>
      <c r="K577" s="4"/>
      <c r="L577" s="4"/>
      <c r="M577" s="4"/>
      <c r="N577" s="5"/>
      <c r="O577" s="5"/>
      <c r="P577" s="5"/>
      <c r="Q577" s="5"/>
      <c r="R577" s="5"/>
      <c r="S577" s="5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</row>
    <row r="578">
      <c r="A578" s="31"/>
      <c r="B578" s="304"/>
      <c r="C578" s="5"/>
      <c r="D578" s="5"/>
      <c r="E578" s="4"/>
      <c r="F578" s="4"/>
      <c r="G578" s="4"/>
      <c r="H578" s="4"/>
      <c r="I578" s="5"/>
      <c r="J578" s="4"/>
      <c r="K578" s="4"/>
      <c r="L578" s="4"/>
      <c r="M578" s="4"/>
      <c r="N578" s="5"/>
      <c r="O578" s="5"/>
      <c r="P578" s="5"/>
      <c r="Q578" s="5"/>
      <c r="R578" s="5"/>
      <c r="S578" s="5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</row>
    <row r="579">
      <c r="A579" s="31"/>
      <c r="B579" s="304"/>
      <c r="C579" s="5"/>
      <c r="D579" s="5"/>
      <c r="E579" s="4"/>
      <c r="F579" s="4"/>
      <c r="G579" s="4"/>
      <c r="H579" s="4"/>
      <c r="I579" s="5"/>
      <c r="J579" s="4"/>
      <c r="K579" s="4"/>
      <c r="L579" s="4"/>
      <c r="M579" s="4"/>
      <c r="N579" s="5"/>
      <c r="O579" s="5"/>
      <c r="P579" s="5"/>
      <c r="Q579" s="5"/>
      <c r="R579" s="5"/>
      <c r="S579" s="5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</row>
    <row r="580">
      <c r="A580" s="31"/>
      <c r="B580" s="304"/>
      <c r="C580" s="5"/>
      <c r="D580" s="5"/>
      <c r="E580" s="4"/>
      <c r="F580" s="4"/>
      <c r="G580" s="4"/>
      <c r="H580" s="4"/>
      <c r="I580" s="5"/>
      <c r="J580" s="4"/>
      <c r="K580" s="4"/>
      <c r="L580" s="4"/>
      <c r="M580" s="4"/>
      <c r="N580" s="5"/>
      <c r="O580" s="5"/>
      <c r="P580" s="5"/>
      <c r="Q580" s="5"/>
      <c r="R580" s="5"/>
      <c r="S580" s="5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</row>
    <row r="581">
      <c r="A581" s="31"/>
      <c r="B581" s="304"/>
      <c r="C581" s="5"/>
      <c r="D581" s="5"/>
      <c r="E581" s="4"/>
      <c r="F581" s="4"/>
      <c r="G581" s="4"/>
      <c r="H581" s="4"/>
      <c r="I581" s="5"/>
      <c r="J581" s="4"/>
      <c r="K581" s="4"/>
      <c r="L581" s="4"/>
      <c r="M581" s="4"/>
      <c r="N581" s="5"/>
      <c r="O581" s="5"/>
      <c r="P581" s="5"/>
      <c r="Q581" s="5"/>
      <c r="R581" s="5"/>
      <c r="S581" s="5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</row>
    <row r="582">
      <c r="A582" s="31"/>
      <c r="B582" s="304"/>
      <c r="C582" s="5"/>
      <c r="D582" s="5"/>
      <c r="E582" s="4"/>
      <c r="F582" s="4"/>
      <c r="G582" s="4"/>
      <c r="H582" s="4"/>
      <c r="I582" s="5"/>
      <c r="J582" s="4"/>
      <c r="K582" s="4"/>
      <c r="L582" s="4"/>
      <c r="M582" s="4"/>
      <c r="N582" s="5"/>
      <c r="O582" s="5"/>
      <c r="P582" s="5"/>
      <c r="Q582" s="5"/>
      <c r="R582" s="5"/>
      <c r="S582" s="5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</row>
    <row r="583">
      <c r="A583" s="31"/>
      <c r="B583" s="304"/>
      <c r="C583" s="5"/>
      <c r="D583" s="5"/>
      <c r="E583" s="4"/>
      <c r="F583" s="4"/>
      <c r="G583" s="4"/>
      <c r="H583" s="4"/>
      <c r="I583" s="5"/>
      <c r="J583" s="4"/>
      <c r="K583" s="4"/>
      <c r="L583" s="4"/>
      <c r="M583" s="4"/>
      <c r="N583" s="5"/>
      <c r="O583" s="5"/>
      <c r="P583" s="5"/>
      <c r="Q583" s="5"/>
      <c r="R583" s="5"/>
      <c r="S583" s="5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</row>
    <row r="584">
      <c r="A584" s="31"/>
      <c r="B584" s="304"/>
      <c r="C584" s="5"/>
      <c r="D584" s="5"/>
      <c r="E584" s="4"/>
      <c r="F584" s="4"/>
      <c r="G584" s="4"/>
      <c r="H584" s="4"/>
      <c r="I584" s="5"/>
      <c r="J584" s="4"/>
      <c r="K584" s="4"/>
      <c r="L584" s="4"/>
      <c r="M584" s="4"/>
      <c r="N584" s="5"/>
      <c r="O584" s="5"/>
      <c r="P584" s="5"/>
      <c r="Q584" s="5"/>
      <c r="R584" s="5"/>
      <c r="S584" s="5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</row>
    <row r="585">
      <c r="A585" s="31"/>
      <c r="B585" s="304"/>
      <c r="C585" s="5"/>
      <c r="D585" s="5"/>
      <c r="E585" s="4"/>
      <c r="F585" s="4"/>
      <c r="G585" s="4"/>
      <c r="H585" s="4"/>
      <c r="I585" s="5"/>
      <c r="J585" s="4"/>
      <c r="K585" s="4"/>
      <c r="L585" s="4"/>
      <c r="M585" s="4"/>
      <c r="N585" s="5"/>
      <c r="O585" s="5"/>
      <c r="P585" s="5"/>
      <c r="Q585" s="5"/>
      <c r="R585" s="5"/>
      <c r="S585" s="5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</row>
    <row r="586">
      <c r="A586" s="31"/>
      <c r="B586" s="304"/>
      <c r="C586" s="5"/>
      <c r="D586" s="5"/>
      <c r="E586" s="4"/>
      <c r="F586" s="4"/>
      <c r="G586" s="4"/>
      <c r="H586" s="4"/>
      <c r="I586" s="5"/>
      <c r="J586" s="4"/>
      <c r="K586" s="4"/>
      <c r="L586" s="4"/>
      <c r="M586" s="4"/>
      <c r="N586" s="5"/>
      <c r="O586" s="5"/>
      <c r="P586" s="5"/>
      <c r="Q586" s="5"/>
      <c r="R586" s="5"/>
      <c r="S586" s="5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</row>
    <row r="587">
      <c r="A587" s="31"/>
      <c r="B587" s="304"/>
      <c r="C587" s="5"/>
      <c r="D587" s="5"/>
      <c r="E587" s="4"/>
      <c r="F587" s="4"/>
      <c r="G587" s="4"/>
      <c r="H587" s="4"/>
      <c r="I587" s="5"/>
      <c r="J587" s="4"/>
      <c r="K587" s="4"/>
      <c r="L587" s="4"/>
      <c r="M587" s="4"/>
      <c r="N587" s="5"/>
      <c r="O587" s="5"/>
      <c r="P587" s="5"/>
      <c r="Q587" s="5"/>
      <c r="R587" s="5"/>
      <c r="S587" s="5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</row>
    <row r="588">
      <c r="A588" s="31"/>
      <c r="B588" s="304"/>
      <c r="C588" s="5"/>
      <c r="D588" s="5"/>
      <c r="E588" s="4"/>
      <c r="F588" s="4"/>
      <c r="G588" s="4"/>
      <c r="H588" s="4"/>
      <c r="I588" s="5"/>
      <c r="J588" s="4"/>
      <c r="K588" s="4"/>
      <c r="L588" s="4"/>
      <c r="M588" s="4"/>
      <c r="N588" s="5"/>
      <c r="O588" s="5"/>
      <c r="P588" s="5"/>
      <c r="Q588" s="5"/>
      <c r="R588" s="5"/>
      <c r="S588" s="5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</row>
    <row r="589">
      <c r="A589" s="31"/>
      <c r="B589" s="304"/>
      <c r="C589" s="5"/>
      <c r="D589" s="5"/>
      <c r="E589" s="4"/>
      <c r="F589" s="4"/>
      <c r="G589" s="4"/>
      <c r="H589" s="4"/>
      <c r="I589" s="5"/>
      <c r="J589" s="4"/>
      <c r="K589" s="4"/>
      <c r="L589" s="4"/>
      <c r="M589" s="4"/>
      <c r="N589" s="5"/>
      <c r="O589" s="5"/>
      <c r="P589" s="5"/>
      <c r="Q589" s="5"/>
      <c r="R589" s="5"/>
      <c r="S589" s="5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</row>
    <row r="590">
      <c r="A590" s="31"/>
      <c r="B590" s="304"/>
      <c r="C590" s="5"/>
      <c r="D590" s="5"/>
      <c r="E590" s="4"/>
      <c r="F590" s="4"/>
      <c r="G590" s="4"/>
      <c r="H590" s="4"/>
      <c r="I590" s="5"/>
      <c r="J590" s="4"/>
      <c r="K590" s="4"/>
      <c r="L590" s="4"/>
      <c r="M590" s="4"/>
      <c r="N590" s="5"/>
      <c r="O590" s="5"/>
      <c r="P590" s="5"/>
      <c r="Q590" s="5"/>
      <c r="R590" s="5"/>
      <c r="S590" s="5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</row>
    <row r="591">
      <c r="A591" s="31"/>
      <c r="B591" s="304"/>
      <c r="C591" s="5"/>
      <c r="D591" s="5"/>
      <c r="E591" s="4"/>
      <c r="F591" s="4"/>
      <c r="G591" s="4"/>
      <c r="H591" s="4"/>
      <c r="I591" s="5"/>
      <c r="J591" s="4"/>
      <c r="K591" s="4"/>
      <c r="L591" s="4"/>
      <c r="M591" s="4"/>
      <c r="N591" s="5"/>
      <c r="O591" s="5"/>
      <c r="P591" s="5"/>
      <c r="Q591" s="5"/>
      <c r="R591" s="5"/>
      <c r="S591" s="5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</row>
    <row r="592">
      <c r="A592" s="31"/>
      <c r="B592" s="304"/>
      <c r="C592" s="5"/>
      <c r="D592" s="5"/>
      <c r="E592" s="4"/>
      <c r="F592" s="4"/>
      <c r="G592" s="4"/>
      <c r="H592" s="4"/>
      <c r="I592" s="5"/>
      <c r="J592" s="4"/>
      <c r="K592" s="4"/>
      <c r="L592" s="4"/>
      <c r="M592" s="4"/>
      <c r="N592" s="5"/>
      <c r="O592" s="5"/>
      <c r="P592" s="5"/>
      <c r="Q592" s="5"/>
      <c r="R592" s="5"/>
      <c r="S592" s="5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</row>
    <row r="593">
      <c r="A593" s="31"/>
      <c r="B593" s="304"/>
      <c r="C593" s="5"/>
      <c r="D593" s="5"/>
      <c r="E593" s="4"/>
      <c r="F593" s="4"/>
      <c r="G593" s="4"/>
      <c r="H593" s="4"/>
      <c r="I593" s="5"/>
      <c r="J593" s="4"/>
      <c r="K593" s="4"/>
      <c r="L593" s="4"/>
      <c r="M593" s="4"/>
      <c r="N593" s="5"/>
      <c r="O593" s="5"/>
      <c r="P593" s="5"/>
      <c r="Q593" s="5"/>
      <c r="R593" s="5"/>
      <c r="S593" s="5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</row>
    <row r="594">
      <c r="A594" s="31"/>
      <c r="B594" s="304"/>
      <c r="C594" s="5"/>
      <c r="D594" s="5"/>
      <c r="E594" s="4"/>
      <c r="F594" s="4"/>
      <c r="G594" s="4"/>
      <c r="H594" s="4"/>
      <c r="I594" s="5"/>
      <c r="J594" s="4"/>
      <c r="K594" s="4"/>
      <c r="L594" s="4"/>
      <c r="M594" s="4"/>
      <c r="N594" s="5"/>
      <c r="O594" s="5"/>
      <c r="P594" s="5"/>
      <c r="Q594" s="5"/>
      <c r="R594" s="5"/>
      <c r="S594" s="5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</row>
    <row r="595">
      <c r="A595" s="31"/>
      <c r="B595" s="304"/>
      <c r="C595" s="5"/>
      <c r="D595" s="5"/>
      <c r="E595" s="4"/>
      <c r="F595" s="4"/>
      <c r="G595" s="4"/>
      <c r="H595" s="4"/>
      <c r="I595" s="5"/>
      <c r="J595" s="4"/>
      <c r="K595" s="4"/>
      <c r="L595" s="4"/>
      <c r="M595" s="4"/>
      <c r="N595" s="5"/>
      <c r="O595" s="5"/>
      <c r="P595" s="5"/>
      <c r="Q595" s="5"/>
      <c r="R595" s="5"/>
      <c r="S595" s="5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</row>
    <row r="596">
      <c r="A596" s="31"/>
      <c r="B596" s="304"/>
      <c r="C596" s="5"/>
      <c r="D596" s="5"/>
      <c r="E596" s="4"/>
      <c r="F596" s="4"/>
      <c r="G596" s="4"/>
      <c r="H596" s="4"/>
      <c r="I596" s="5"/>
      <c r="J596" s="4"/>
      <c r="K596" s="4"/>
      <c r="L596" s="4"/>
      <c r="M596" s="4"/>
      <c r="N596" s="5"/>
      <c r="O596" s="5"/>
      <c r="P596" s="5"/>
      <c r="Q596" s="5"/>
      <c r="R596" s="5"/>
      <c r="S596" s="5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</row>
    <row r="597">
      <c r="A597" s="31"/>
      <c r="B597" s="304"/>
      <c r="C597" s="5"/>
      <c r="D597" s="5"/>
      <c r="E597" s="4"/>
      <c r="F597" s="4"/>
      <c r="G597" s="4"/>
      <c r="H597" s="4"/>
      <c r="I597" s="5"/>
      <c r="J597" s="4"/>
      <c r="K597" s="4"/>
      <c r="L597" s="4"/>
      <c r="M597" s="4"/>
      <c r="N597" s="5"/>
      <c r="O597" s="5"/>
      <c r="P597" s="5"/>
      <c r="Q597" s="5"/>
      <c r="R597" s="5"/>
      <c r="S597" s="5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</row>
    <row r="598">
      <c r="A598" s="31"/>
      <c r="B598" s="304"/>
      <c r="C598" s="5"/>
      <c r="D598" s="5"/>
      <c r="E598" s="4"/>
      <c r="F598" s="4"/>
      <c r="G598" s="4"/>
      <c r="H598" s="4"/>
      <c r="I598" s="5"/>
      <c r="J598" s="4"/>
      <c r="K598" s="4"/>
      <c r="L598" s="4"/>
      <c r="M598" s="4"/>
      <c r="N598" s="5"/>
      <c r="O598" s="5"/>
      <c r="P598" s="5"/>
      <c r="Q598" s="5"/>
      <c r="R598" s="5"/>
      <c r="S598" s="5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</row>
    <row r="599">
      <c r="A599" s="31"/>
      <c r="B599" s="304"/>
      <c r="C599" s="5"/>
      <c r="D599" s="5"/>
      <c r="E599" s="4"/>
      <c r="F599" s="4"/>
      <c r="G599" s="4"/>
      <c r="H599" s="4"/>
      <c r="I599" s="5"/>
      <c r="J599" s="4"/>
      <c r="K599" s="4"/>
      <c r="L599" s="4"/>
      <c r="M599" s="4"/>
      <c r="N599" s="5"/>
      <c r="O599" s="5"/>
      <c r="P599" s="5"/>
      <c r="Q599" s="5"/>
      <c r="R599" s="5"/>
      <c r="S599" s="5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</row>
    <row r="600">
      <c r="A600" s="31"/>
      <c r="B600" s="304"/>
      <c r="C600" s="5"/>
      <c r="D600" s="5"/>
      <c r="E600" s="4"/>
      <c r="F600" s="4"/>
      <c r="G600" s="4"/>
      <c r="H600" s="4"/>
      <c r="I600" s="5"/>
      <c r="J600" s="4"/>
      <c r="K600" s="4"/>
      <c r="L600" s="4"/>
      <c r="M600" s="4"/>
      <c r="N600" s="5"/>
      <c r="O600" s="5"/>
      <c r="P600" s="5"/>
      <c r="Q600" s="5"/>
      <c r="R600" s="5"/>
      <c r="S600" s="5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</row>
    <row r="601">
      <c r="A601" s="31"/>
      <c r="B601" s="304"/>
      <c r="C601" s="5"/>
      <c r="D601" s="5"/>
      <c r="E601" s="4"/>
      <c r="F601" s="4"/>
      <c r="G601" s="4"/>
      <c r="H601" s="4"/>
      <c r="I601" s="5"/>
      <c r="J601" s="4"/>
      <c r="K601" s="4"/>
      <c r="L601" s="4"/>
      <c r="M601" s="4"/>
      <c r="N601" s="5"/>
      <c r="O601" s="5"/>
      <c r="P601" s="5"/>
      <c r="Q601" s="5"/>
      <c r="R601" s="5"/>
      <c r="S601" s="5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</row>
    <row r="602">
      <c r="A602" s="31"/>
      <c r="B602" s="304"/>
      <c r="C602" s="5"/>
      <c r="D602" s="5"/>
      <c r="E602" s="4"/>
      <c r="F602" s="4"/>
      <c r="G602" s="4"/>
      <c r="H602" s="4"/>
      <c r="I602" s="5"/>
      <c r="J602" s="4"/>
      <c r="K602" s="4"/>
      <c r="L602" s="4"/>
      <c r="M602" s="4"/>
      <c r="N602" s="5"/>
      <c r="O602" s="5"/>
      <c r="P602" s="5"/>
      <c r="Q602" s="5"/>
      <c r="R602" s="5"/>
      <c r="S602" s="5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</row>
    <row r="603">
      <c r="A603" s="31"/>
      <c r="B603" s="304"/>
      <c r="C603" s="5"/>
      <c r="D603" s="5"/>
      <c r="E603" s="4"/>
      <c r="F603" s="4"/>
      <c r="G603" s="4"/>
      <c r="H603" s="4"/>
      <c r="I603" s="5"/>
      <c r="J603" s="4"/>
      <c r="K603" s="4"/>
      <c r="L603" s="4"/>
      <c r="M603" s="4"/>
      <c r="N603" s="5"/>
      <c r="O603" s="5"/>
      <c r="P603" s="5"/>
      <c r="Q603" s="5"/>
      <c r="R603" s="5"/>
      <c r="S603" s="5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</row>
    <row r="604">
      <c r="A604" s="31"/>
      <c r="B604" s="304"/>
      <c r="C604" s="5"/>
      <c r="D604" s="5"/>
      <c r="E604" s="4"/>
      <c r="F604" s="4"/>
      <c r="G604" s="4"/>
      <c r="H604" s="4"/>
      <c r="I604" s="5"/>
      <c r="J604" s="4"/>
      <c r="K604" s="4"/>
      <c r="L604" s="4"/>
      <c r="M604" s="4"/>
      <c r="N604" s="5"/>
      <c r="O604" s="5"/>
      <c r="P604" s="5"/>
      <c r="Q604" s="5"/>
      <c r="R604" s="5"/>
      <c r="S604" s="5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</row>
    <row r="605">
      <c r="A605" s="31"/>
      <c r="B605" s="304"/>
      <c r="C605" s="5"/>
      <c r="D605" s="5"/>
      <c r="E605" s="4"/>
      <c r="F605" s="4"/>
      <c r="G605" s="4"/>
      <c r="H605" s="4"/>
      <c r="I605" s="5"/>
      <c r="J605" s="4"/>
      <c r="K605" s="4"/>
      <c r="L605" s="4"/>
      <c r="M605" s="4"/>
      <c r="N605" s="5"/>
      <c r="O605" s="5"/>
      <c r="P605" s="5"/>
      <c r="Q605" s="5"/>
      <c r="R605" s="5"/>
      <c r="S605" s="5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</row>
    <row r="606">
      <c r="A606" s="31"/>
      <c r="B606" s="304"/>
      <c r="C606" s="5"/>
      <c r="D606" s="5"/>
      <c r="E606" s="4"/>
      <c r="F606" s="4"/>
      <c r="G606" s="4"/>
      <c r="H606" s="4"/>
      <c r="I606" s="5"/>
      <c r="J606" s="4"/>
      <c r="K606" s="4"/>
      <c r="L606" s="4"/>
      <c r="M606" s="4"/>
      <c r="N606" s="5"/>
      <c r="O606" s="5"/>
      <c r="P606" s="5"/>
      <c r="Q606" s="5"/>
      <c r="R606" s="5"/>
      <c r="S606" s="5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</row>
    <row r="607">
      <c r="A607" s="31"/>
      <c r="B607" s="304"/>
      <c r="C607" s="5"/>
      <c r="D607" s="5"/>
      <c r="E607" s="4"/>
      <c r="F607" s="4"/>
      <c r="G607" s="4"/>
      <c r="H607" s="4"/>
      <c r="I607" s="5"/>
      <c r="J607" s="4"/>
      <c r="K607" s="4"/>
      <c r="L607" s="4"/>
      <c r="M607" s="4"/>
      <c r="N607" s="5"/>
      <c r="O607" s="5"/>
      <c r="P607" s="5"/>
      <c r="Q607" s="5"/>
      <c r="R607" s="5"/>
      <c r="S607" s="5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</row>
    <row r="608">
      <c r="A608" s="31"/>
      <c r="B608" s="304"/>
      <c r="C608" s="5"/>
      <c r="D608" s="5"/>
      <c r="E608" s="4"/>
      <c r="F608" s="4"/>
      <c r="G608" s="4"/>
      <c r="H608" s="4"/>
      <c r="I608" s="5"/>
      <c r="J608" s="4"/>
      <c r="K608" s="4"/>
      <c r="L608" s="4"/>
      <c r="M608" s="4"/>
      <c r="N608" s="5"/>
      <c r="O608" s="5"/>
      <c r="P608" s="5"/>
      <c r="Q608" s="5"/>
      <c r="R608" s="5"/>
      <c r="S608" s="5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</row>
    <row r="609">
      <c r="A609" s="31"/>
      <c r="B609" s="304"/>
      <c r="C609" s="5"/>
      <c r="D609" s="5"/>
      <c r="E609" s="4"/>
      <c r="F609" s="4"/>
      <c r="G609" s="4"/>
      <c r="H609" s="4"/>
      <c r="I609" s="5"/>
      <c r="J609" s="4"/>
      <c r="K609" s="4"/>
      <c r="L609" s="4"/>
      <c r="M609" s="4"/>
      <c r="N609" s="5"/>
      <c r="O609" s="5"/>
      <c r="P609" s="5"/>
      <c r="Q609" s="5"/>
      <c r="R609" s="5"/>
      <c r="S609" s="5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</row>
    <row r="610">
      <c r="A610" s="31"/>
      <c r="B610" s="304"/>
      <c r="C610" s="5"/>
      <c r="D610" s="5"/>
      <c r="E610" s="4"/>
      <c r="F610" s="4"/>
      <c r="G610" s="4"/>
      <c r="H610" s="4"/>
      <c r="I610" s="5"/>
      <c r="J610" s="4"/>
      <c r="K610" s="4"/>
      <c r="L610" s="4"/>
      <c r="M610" s="4"/>
      <c r="N610" s="5"/>
      <c r="O610" s="5"/>
      <c r="P610" s="5"/>
      <c r="Q610" s="5"/>
      <c r="R610" s="5"/>
      <c r="S610" s="5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</row>
    <row r="611">
      <c r="A611" s="31"/>
      <c r="B611" s="304"/>
      <c r="C611" s="5"/>
      <c r="D611" s="5"/>
      <c r="E611" s="4"/>
      <c r="F611" s="4"/>
      <c r="G611" s="4"/>
      <c r="H611" s="4"/>
      <c r="I611" s="5"/>
      <c r="J611" s="4"/>
      <c r="K611" s="4"/>
      <c r="L611" s="4"/>
      <c r="M611" s="4"/>
      <c r="N611" s="5"/>
      <c r="O611" s="5"/>
      <c r="P611" s="5"/>
      <c r="Q611" s="5"/>
      <c r="R611" s="5"/>
      <c r="S611" s="5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</row>
    <row r="612">
      <c r="A612" s="31"/>
      <c r="B612" s="304"/>
      <c r="C612" s="5"/>
      <c r="D612" s="5"/>
      <c r="E612" s="4"/>
      <c r="F612" s="4"/>
      <c r="G612" s="4"/>
      <c r="H612" s="4"/>
      <c r="I612" s="5"/>
      <c r="J612" s="4"/>
      <c r="K612" s="4"/>
      <c r="L612" s="4"/>
      <c r="M612" s="4"/>
      <c r="N612" s="5"/>
      <c r="O612" s="5"/>
      <c r="P612" s="5"/>
      <c r="Q612" s="5"/>
      <c r="R612" s="5"/>
      <c r="S612" s="5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</row>
    <row r="613">
      <c r="A613" s="31"/>
      <c r="B613" s="304"/>
      <c r="C613" s="5"/>
      <c r="D613" s="5"/>
      <c r="E613" s="4"/>
      <c r="F613" s="4"/>
      <c r="G613" s="4"/>
      <c r="H613" s="4"/>
      <c r="I613" s="5"/>
      <c r="J613" s="4"/>
      <c r="K613" s="4"/>
      <c r="L613" s="4"/>
      <c r="M613" s="4"/>
      <c r="N613" s="5"/>
      <c r="O613" s="5"/>
      <c r="P613" s="5"/>
      <c r="Q613" s="5"/>
      <c r="R613" s="5"/>
      <c r="S613" s="5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</row>
    <row r="614">
      <c r="A614" s="31"/>
      <c r="B614" s="304"/>
      <c r="C614" s="5"/>
      <c r="D614" s="5"/>
      <c r="E614" s="4"/>
      <c r="F614" s="4"/>
      <c r="G614" s="4"/>
      <c r="H614" s="4"/>
      <c r="I614" s="5"/>
      <c r="J614" s="4"/>
      <c r="K614" s="4"/>
      <c r="L614" s="4"/>
      <c r="M614" s="4"/>
      <c r="N614" s="5"/>
      <c r="O614" s="5"/>
      <c r="P614" s="5"/>
      <c r="Q614" s="5"/>
      <c r="R614" s="5"/>
      <c r="S614" s="5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</row>
    <row r="615">
      <c r="A615" s="31"/>
      <c r="B615" s="304"/>
      <c r="C615" s="5"/>
      <c r="D615" s="5"/>
      <c r="E615" s="4"/>
      <c r="F615" s="4"/>
      <c r="G615" s="4"/>
      <c r="H615" s="4"/>
      <c r="I615" s="5"/>
      <c r="J615" s="4"/>
      <c r="K615" s="4"/>
      <c r="L615" s="4"/>
      <c r="M615" s="4"/>
      <c r="N615" s="5"/>
      <c r="O615" s="5"/>
      <c r="P615" s="5"/>
      <c r="Q615" s="5"/>
      <c r="R615" s="5"/>
      <c r="S615" s="5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</row>
    <row r="616">
      <c r="A616" s="31"/>
      <c r="B616" s="304"/>
      <c r="C616" s="5"/>
      <c r="D616" s="5"/>
      <c r="E616" s="4"/>
      <c r="F616" s="4"/>
      <c r="G616" s="4"/>
      <c r="H616" s="4"/>
      <c r="I616" s="5"/>
      <c r="J616" s="4"/>
      <c r="K616" s="4"/>
      <c r="L616" s="4"/>
      <c r="M616" s="4"/>
      <c r="N616" s="5"/>
      <c r="O616" s="5"/>
      <c r="P616" s="5"/>
      <c r="Q616" s="5"/>
      <c r="R616" s="5"/>
      <c r="S616" s="5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</row>
    <row r="617">
      <c r="A617" s="31"/>
      <c r="B617" s="304"/>
      <c r="C617" s="5"/>
      <c r="D617" s="5"/>
      <c r="E617" s="4"/>
      <c r="F617" s="4"/>
      <c r="G617" s="4"/>
      <c r="H617" s="4"/>
      <c r="I617" s="5"/>
      <c r="J617" s="4"/>
      <c r="K617" s="4"/>
      <c r="L617" s="4"/>
      <c r="M617" s="4"/>
      <c r="N617" s="5"/>
      <c r="O617" s="5"/>
      <c r="P617" s="5"/>
      <c r="Q617" s="5"/>
      <c r="R617" s="5"/>
      <c r="S617" s="5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</row>
    <row r="618">
      <c r="A618" s="31"/>
      <c r="B618" s="304"/>
      <c r="C618" s="5"/>
      <c r="D618" s="5"/>
      <c r="E618" s="4"/>
      <c r="F618" s="4"/>
      <c r="G618" s="4"/>
      <c r="H618" s="4"/>
      <c r="I618" s="5"/>
      <c r="J618" s="4"/>
      <c r="K618" s="4"/>
      <c r="L618" s="4"/>
      <c r="M618" s="4"/>
      <c r="N618" s="5"/>
      <c r="O618" s="5"/>
      <c r="P618" s="5"/>
      <c r="Q618" s="5"/>
      <c r="R618" s="5"/>
      <c r="S618" s="5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</row>
    <row r="619">
      <c r="A619" s="31"/>
      <c r="B619" s="304"/>
      <c r="C619" s="5"/>
      <c r="D619" s="5"/>
      <c r="E619" s="4"/>
      <c r="F619" s="4"/>
      <c r="G619" s="4"/>
      <c r="H619" s="4"/>
      <c r="I619" s="5"/>
      <c r="J619" s="4"/>
      <c r="K619" s="4"/>
      <c r="L619" s="4"/>
      <c r="M619" s="4"/>
      <c r="N619" s="5"/>
      <c r="O619" s="5"/>
      <c r="P619" s="5"/>
      <c r="Q619" s="5"/>
      <c r="R619" s="5"/>
      <c r="S619" s="5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</row>
    <row r="620">
      <c r="A620" s="31"/>
      <c r="B620" s="304"/>
      <c r="C620" s="5"/>
      <c r="D620" s="5"/>
      <c r="E620" s="4"/>
      <c r="F620" s="4"/>
      <c r="G620" s="4"/>
      <c r="H620" s="4"/>
      <c r="I620" s="5"/>
      <c r="J620" s="4"/>
      <c r="K620" s="4"/>
      <c r="L620" s="4"/>
      <c r="M620" s="4"/>
      <c r="N620" s="5"/>
      <c r="O620" s="5"/>
      <c r="P620" s="5"/>
      <c r="Q620" s="5"/>
      <c r="R620" s="5"/>
      <c r="S620" s="5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</row>
    <row r="621">
      <c r="A621" s="31"/>
      <c r="B621" s="304"/>
      <c r="C621" s="5"/>
      <c r="D621" s="5"/>
      <c r="E621" s="4"/>
      <c r="F621" s="4"/>
      <c r="G621" s="4"/>
      <c r="H621" s="4"/>
      <c r="I621" s="5"/>
      <c r="J621" s="4"/>
      <c r="K621" s="4"/>
      <c r="L621" s="4"/>
      <c r="M621" s="4"/>
      <c r="N621" s="5"/>
      <c r="O621" s="5"/>
      <c r="P621" s="5"/>
      <c r="Q621" s="5"/>
      <c r="R621" s="5"/>
      <c r="S621" s="5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</row>
    <row r="622">
      <c r="A622" s="31"/>
      <c r="B622" s="304"/>
      <c r="C622" s="5"/>
      <c r="D622" s="5"/>
      <c r="E622" s="4"/>
      <c r="F622" s="4"/>
      <c r="G622" s="4"/>
      <c r="H622" s="4"/>
      <c r="I622" s="5"/>
      <c r="J622" s="4"/>
      <c r="K622" s="4"/>
      <c r="L622" s="4"/>
      <c r="M622" s="4"/>
      <c r="N622" s="5"/>
      <c r="O622" s="5"/>
      <c r="P622" s="5"/>
      <c r="Q622" s="5"/>
      <c r="R622" s="5"/>
      <c r="S622" s="5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</row>
    <row r="623">
      <c r="A623" s="31"/>
      <c r="B623" s="304"/>
      <c r="C623" s="5"/>
      <c r="D623" s="5"/>
      <c r="E623" s="4"/>
      <c r="F623" s="4"/>
      <c r="G623" s="4"/>
      <c r="H623" s="4"/>
      <c r="I623" s="5"/>
      <c r="J623" s="4"/>
      <c r="K623" s="4"/>
      <c r="L623" s="4"/>
      <c r="M623" s="4"/>
      <c r="N623" s="5"/>
      <c r="O623" s="5"/>
      <c r="P623" s="5"/>
      <c r="Q623" s="5"/>
      <c r="R623" s="5"/>
      <c r="S623" s="5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</row>
    <row r="624">
      <c r="A624" s="31"/>
      <c r="B624" s="304"/>
      <c r="C624" s="5"/>
      <c r="D624" s="5"/>
      <c r="E624" s="4"/>
      <c r="F624" s="4"/>
      <c r="G624" s="4"/>
      <c r="H624" s="4"/>
      <c r="I624" s="5"/>
      <c r="J624" s="4"/>
      <c r="K624" s="4"/>
      <c r="L624" s="4"/>
      <c r="M624" s="4"/>
      <c r="N624" s="5"/>
      <c r="O624" s="5"/>
      <c r="P624" s="5"/>
      <c r="Q624" s="5"/>
      <c r="R624" s="5"/>
      <c r="S624" s="5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</row>
    <row r="625">
      <c r="A625" s="31"/>
      <c r="B625" s="304"/>
      <c r="C625" s="5"/>
      <c r="D625" s="5"/>
      <c r="E625" s="4"/>
      <c r="F625" s="4"/>
      <c r="G625" s="4"/>
      <c r="H625" s="4"/>
      <c r="I625" s="5"/>
      <c r="J625" s="4"/>
      <c r="K625" s="4"/>
      <c r="L625" s="4"/>
      <c r="M625" s="4"/>
      <c r="N625" s="5"/>
      <c r="O625" s="5"/>
      <c r="P625" s="5"/>
      <c r="Q625" s="5"/>
      <c r="R625" s="5"/>
      <c r="S625" s="5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</row>
    <row r="626">
      <c r="A626" s="31"/>
      <c r="B626" s="304"/>
      <c r="C626" s="5"/>
      <c r="D626" s="5"/>
      <c r="E626" s="4"/>
      <c r="F626" s="4"/>
      <c r="G626" s="4"/>
      <c r="H626" s="4"/>
      <c r="I626" s="5"/>
      <c r="J626" s="4"/>
      <c r="K626" s="4"/>
      <c r="L626" s="4"/>
      <c r="M626" s="4"/>
      <c r="N626" s="5"/>
      <c r="O626" s="5"/>
      <c r="P626" s="5"/>
      <c r="Q626" s="5"/>
      <c r="R626" s="5"/>
      <c r="S626" s="5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</row>
    <row r="627">
      <c r="A627" s="31"/>
      <c r="B627" s="304"/>
      <c r="C627" s="5"/>
      <c r="D627" s="5"/>
      <c r="E627" s="4"/>
      <c r="F627" s="4"/>
      <c r="G627" s="4"/>
      <c r="H627" s="4"/>
      <c r="I627" s="5"/>
      <c r="J627" s="4"/>
      <c r="K627" s="4"/>
      <c r="L627" s="4"/>
      <c r="M627" s="4"/>
      <c r="N627" s="5"/>
      <c r="O627" s="5"/>
      <c r="P627" s="5"/>
      <c r="Q627" s="5"/>
      <c r="R627" s="5"/>
      <c r="S627" s="5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</row>
    <row r="628">
      <c r="A628" s="31"/>
      <c r="B628" s="304"/>
      <c r="C628" s="5"/>
      <c r="D628" s="5"/>
      <c r="E628" s="4"/>
      <c r="F628" s="4"/>
      <c r="G628" s="4"/>
      <c r="H628" s="4"/>
      <c r="I628" s="5"/>
      <c r="J628" s="4"/>
      <c r="K628" s="4"/>
      <c r="L628" s="4"/>
      <c r="M628" s="4"/>
      <c r="N628" s="5"/>
      <c r="O628" s="5"/>
      <c r="P628" s="5"/>
      <c r="Q628" s="5"/>
      <c r="R628" s="5"/>
      <c r="S628" s="5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</row>
    <row r="629">
      <c r="A629" s="31"/>
      <c r="B629" s="304"/>
      <c r="C629" s="5"/>
      <c r="D629" s="5"/>
      <c r="E629" s="4"/>
      <c r="F629" s="4"/>
      <c r="G629" s="4"/>
      <c r="H629" s="4"/>
      <c r="I629" s="5"/>
      <c r="J629" s="4"/>
      <c r="K629" s="4"/>
      <c r="L629" s="4"/>
      <c r="M629" s="4"/>
      <c r="N629" s="5"/>
      <c r="O629" s="5"/>
      <c r="P629" s="5"/>
      <c r="Q629" s="5"/>
      <c r="R629" s="5"/>
      <c r="S629" s="5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</row>
    <row r="630">
      <c r="A630" s="31"/>
      <c r="B630" s="304"/>
      <c r="C630" s="5"/>
      <c r="D630" s="5"/>
      <c r="E630" s="4"/>
      <c r="F630" s="4"/>
      <c r="G630" s="4"/>
      <c r="H630" s="4"/>
      <c r="I630" s="5"/>
      <c r="J630" s="4"/>
      <c r="K630" s="4"/>
      <c r="L630" s="4"/>
      <c r="M630" s="4"/>
      <c r="N630" s="5"/>
      <c r="O630" s="5"/>
      <c r="P630" s="5"/>
      <c r="Q630" s="5"/>
      <c r="R630" s="5"/>
      <c r="S630" s="5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</row>
    <row r="631">
      <c r="A631" s="31"/>
      <c r="B631" s="304"/>
      <c r="C631" s="5"/>
      <c r="D631" s="5"/>
      <c r="E631" s="4"/>
      <c r="F631" s="4"/>
      <c r="G631" s="4"/>
      <c r="H631" s="4"/>
      <c r="I631" s="5"/>
      <c r="J631" s="4"/>
      <c r="K631" s="4"/>
      <c r="L631" s="4"/>
      <c r="M631" s="4"/>
      <c r="N631" s="5"/>
      <c r="O631" s="5"/>
      <c r="P631" s="5"/>
      <c r="Q631" s="5"/>
      <c r="R631" s="5"/>
      <c r="S631" s="5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</row>
    <row r="632">
      <c r="A632" s="31"/>
      <c r="B632" s="304"/>
      <c r="C632" s="5"/>
      <c r="D632" s="5"/>
      <c r="E632" s="4"/>
      <c r="F632" s="4"/>
      <c r="G632" s="4"/>
      <c r="H632" s="4"/>
      <c r="I632" s="5"/>
      <c r="J632" s="4"/>
      <c r="K632" s="4"/>
      <c r="L632" s="4"/>
      <c r="M632" s="4"/>
      <c r="N632" s="5"/>
      <c r="O632" s="5"/>
      <c r="P632" s="5"/>
      <c r="Q632" s="5"/>
      <c r="R632" s="5"/>
      <c r="S632" s="5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</row>
    <row r="633">
      <c r="A633" s="31"/>
      <c r="B633" s="304"/>
      <c r="C633" s="5"/>
      <c r="D633" s="5"/>
      <c r="E633" s="4"/>
      <c r="F633" s="4"/>
      <c r="G633" s="4"/>
      <c r="H633" s="4"/>
      <c r="I633" s="5"/>
      <c r="J633" s="4"/>
      <c r="K633" s="4"/>
      <c r="L633" s="4"/>
      <c r="M633" s="4"/>
      <c r="N633" s="5"/>
      <c r="O633" s="5"/>
      <c r="P633" s="5"/>
      <c r="Q633" s="5"/>
      <c r="R633" s="5"/>
      <c r="S633" s="5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</row>
    <row r="634">
      <c r="A634" s="31"/>
      <c r="B634" s="304"/>
      <c r="C634" s="5"/>
      <c r="D634" s="5"/>
      <c r="E634" s="4"/>
      <c r="F634" s="4"/>
      <c r="G634" s="4"/>
      <c r="H634" s="4"/>
      <c r="I634" s="5"/>
      <c r="J634" s="4"/>
      <c r="K634" s="4"/>
      <c r="L634" s="4"/>
      <c r="M634" s="4"/>
      <c r="N634" s="5"/>
      <c r="O634" s="5"/>
      <c r="P634" s="5"/>
      <c r="Q634" s="5"/>
      <c r="R634" s="5"/>
      <c r="S634" s="5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</row>
    <row r="635">
      <c r="A635" s="31"/>
      <c r="B635" s="304"/>
      <c r="C635" s="5"/>
      <c r="D635" s="5"/>
      <c r="E635" s="4"/>
      <c r="F635" s="4"/>
      <c r="G635" s="4"/>
      <c r="H635" s="4"/>
      <c r="I635" s="5"/>
      <c r="J635" s="4"/>
      <c r="K635" s="4"/>
      <c r="L635" s="4"/>
      <c r="M635" s="4"/>
      <c r="N635" s="5"/>
      <c r="O635" s="5"/>
      <c r="P635" s="5"/>
      <c r="Q635" s="5"/>
      <c r="R635" s="5"/>
      <c r="S635" s="5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</row>
    <row r="636">
      <c r="A636" s="31"/>
      <c r="B636" s="304"/>
      <c r="C636" s="5"/>
      <c r="D636" s="5"/>
      <c r="E636" s="4"/>
      <c r="F636" s="4"/>
      <c r="G636" s="4"/>
      <c r="H636" s="4"/>
      <c r="I636" s="5"/>
      <c r="J636" s="4"/>
      <c r="K636" s="4"/>
      <c r="L636" s="4"/>
      <c r="M636" s="4"/>
      <c r="N636" s="5"/>
      <c r="O636" s="5"/>
      <c r="P636" s="5"/>
      <c r="Q636" s="5"/>
      <c r="R636" s="5"/>
      <c r="S636" s="5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</row>
    <row r="637">
      <c r="A637" s="31"/>
      <c r="B637" s="304"/>
      <c r="C637" s="5"/>
      <c r="D637" s="5"/>
      <c r="E637" s="4"/>
      <c r="F637" s="4"/>
      <c r="G637" s="4"/>
      <c r="H637" s="4"/>
      <c r="I637" s="5"/>
      <c r="J637" s="4"/>
      <c r="K637" s="4"/>
      <c r="L637" s="4"/>
      <c r="M637" s="4"/>
      <c r="N637" s="5"/>
      <c r="O637" s="5"/>
      <c r="P637" s="5"/>
      <c r="Q637" s="5"/>
      <c r="R637" s="5"/>
      <c r="S637" s="5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</row>
    <row r="638">
      <c r="A638" s="31"/>
      <c r="B638" s="304"/>
      <c r="C638" s="5"/>
      <c r="D638" s="5"/>
      <c r="E638" s="4"/>
      <c r="F638" s="4"/>
      <c r="G638" s="4"/>
      <c r="H638" s="4"/>
      <c r="I638" s="5"/>
      <c r="J638" s="4"/>
      <c r="K638" s="4"/>
      <c r="L638" s="4"/>
      <c r="M638" s="4"/>
      <c r="N638" s="5"/>
      <c r="O638" s="5"/>
      <c r="P638" s="5"/>
      <c r="Q638" s="5"/>
      <c r="R638" s="5"/>
      <c r="S638" s="5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</row>
    <row r="639">
      <c r="A639" s="31"/>
      <c r="B639" s="304"/>
      <c r="C639" s="5"/>
      <c r="D639" s="5"/>
      <c r="E639" s="4"/>
      <c r="F639" s="4"/>
      <c r="G639" s="4"/>
      <c r="H639" s="4"/>
      <c r="I639" s="5"/>
      <c r="J639" s="4"/>
      <c r="K639" s="4"/>
      <c r="L639" s="4"/>
      <c r="M639" s="4"/>
      <c r="N639" s="5"/>
      <c r="O639" s="5"/>
      <c r="P639" s="5"/>
      <c r="Q639" s="5"/>
      <c r="R639" s="5"/>
      <c r="S639" s="5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</row>
    <row r="640">
      <c r="A640" s="31"/>
      <c r="B640" s="304"/>
      <c r="C640" s="5"/>
      <c r="D640" s="5"/>
      <c r="E640" s="4"/>
      <c r="F640" s="4"/>
      <c r="G640" s="4"/>
      <c r="H640" s="4"/>
      <c r="I640" s="5"/>
      <c r="J640" s="4"/>
      <c r="K640" s="4"/>
      <c r="L640" s="4"/>
      <c r="M640" s="4"/>
      <c r="N640" s="5"/>
      <c r="O640" s="5"/>
      <c r="P640" s="5"/>
      <c r="Q640" s="5"/>
      <c r="R640" s="5"/>
      <c r="S640" s="5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</row>
    <row r="641">
      <c r="A641" s="31"/>
      <c r="B641" s="304"/>
      <c r="C641" s="5"/>
      <c r="D641" s="5"/>
      <c r="E641" s="4"/>
      <c r="F641" s="4"/>
      <c r="G641" s="4"/>
      <c r="H641" s="4"/>
      <c r="I641" s="5"/>
      <c r="J641" s="4"/>
      <c r="K641" s="4"/>
      <c r="L641" s="4"/>
      <c r="M641" s="4"/>
      <c r="N641" s="5"/>
      <c r="O641" s="5"/>
      <c r="P641" s="5"/>
      <c r="Q641" s="5"/>
      <c r="R641" s="5"/>
      <c r="S641" s="5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</row>
    <row r="642">
      <c r="A642" s="31"/>
      <c r="B642" s="304"/>
      <c r="C642" s="5"/>
      <c r="D642" s="5"/>
      <c r="E642" s="4"/>
      <c r="F642" s="4"/>
      <c r="G642" s="4"/>
      <c r="H642" s="4"/>
      <c r="I642" s="5"/>
      <c r="J642" s="4"/>
      <c r="K642" s="4"/>
      <c r="L642" s="4"/>
      <c r="M642" s="4"/>
      <c r="N642" s="5"/>
      <c r="O642" s="5"/>
      <c r="P642" s="5"/>
      <c r="Q642" s="5"/>
      <c r="R642" s="5"/>
      <c r="S642" s="5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</row>
    <row r="643">
      <c r="A643" s="31"/>
      <c r="B643" s="304"/>
      <c r="C643" s="5"/>
      <c r="D643" s="5"/>
      <c r="E643" s="4"/>
      <c r="F643" s="4"/>
      <c r="G643" s="4"/>
      <c r="H643" s="4"/>
      <c r="I643" s="5"/>
      <c r="J643" s="4"/>
      <c r="K643" s="4"/>
      <c r="L643" s="4"/>
      <c r="M643" s="4"/>
      <c r="N643" s="5"/>
      <c r="O643" s="5"/>
      <c r="P643" s="5"/>
      <c r="Q643" s="5"/>
      <c r="R643" s="5"/>
      <c r="S643" s="5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</row>
    <row r="644">
      <c r="A644" s="31"/>
      <c r="B644" s="304"/>
      <c r="C644" s="5"/>
      <c r="D644" s="5"/>
      <c r="E644" s="4"/>
      <c r="F644" s="4"/>
      <c r="G644" s="4"/>
      <c r="H644" s="4"/>
      <c r="I644" s="5"/>
      <c r="J644" s="4"/>
      <c r="K644" s="4"/>
      <c r="L644" s="4"/>
      <c r="M644" s="4"/>
      <c r="N644" s="5"/>
      <c r="O644" s="5"/>
      <c r="P644" s="5"/>
      <c r="Q644" s="5"/>
      <c r="R644" s="5"/>
      <c r="S644" s="5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</row>
    <row r="645">
      <c r="A645" s="31"/>
      <c r="B645" s="304"/>
      <c r="C645" s="5"/>
      <c r="D645" s="5"/>
      <c r="E645" s="4"/>
      <c r="F645" s="4"/>
      <c r="G645" s="4"/>
      <c r="H645" s="4"/>
      <c r="I645" s="5"/>
      <c r="J645" s="4"/>
      <c r="K645" s="4"/>
      <c r="L645" s="4"/>
      <c r="M645" s="4"/>
      <c r="N645" s="5"/>
      <c r="O645" s="5"/>
      <c r="P645" s="5"/>
      <c r="Q645" s="5"/>
      <c r="R645" s="5"/>
      <c r="S645" s="5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</row>
    <row r="646">
      <c r="A646" s="31"/>
      <c r="B646" s="304"/>
      <c r="C646" s="5"/>
      <c r="D646" s="5"/>
      <c r="E646" s="4"/>
      <c r="F646" s="4"/>
      <c r="G646" s="4"/>
      <c r="H646" s="4"/>
      <c r="I646" s="5"/>
      <c r="J646" s="4"/>
      <c r="K646" s="4"/>
      <c r="L646" s="4"/>
      <c r="M646" s="4"/>
      <c r="N646" s="5"/>
      <c r="O646" s="5"/>
      <c r="P646" s="5"/>
      <c r="Q646" s="5"/>
      <c r="R646" s="5"/>
      <c r="S646" s="5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</row>
    <row r="647">
      <c r="A647" s="31"/>
      <c r="B647" s="304"/>
      <c r="C647" s="5"/>
      <c r="D647" s="5"/>
      <c r="E647" s="4"/>
      <c r="F647" s="4"/>
      <c r="G647" s="4"/>
      <c r="H647" s="4"/>
      <c r="I647" s="5"/>
      <c r="J647" s="4"/>
      <c r="K647" s="4"/>
      <c r="L647" s="4"/>
      <c r="M647" s="4"/>
      <c r="N647" s="5"/>
      <c r="O647" s="5"/>
      <c r="P647" s="5"/>
      <c r="Q647" s="5"/>
      <c r="R647" s="5"/>
      <c r="S647" s="5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</row>
    <row r="648">
      <c r="A648" s="31"/>
      <c r="B648" s="304"/>
      <c r="C648" s="5"/>
      <c r="D648" s="5"/>
      <c r="E648" s="4"/>
      <c r="F648" s="4"/>
      <c r="G648" s="4"/>
      <c r="H648" s="4"/>
      <c r="I648" s="5"/>
      <c r="J648" s="4"/>
      <c r="K648" s="4"/>
      <c r="L648" s="4"/>
      <c r="M648" s="4"/>
      <c r="N648" s="5"/>
      <c r="O648" s="5"/>
      <c r="P648" s="5"/>
      <c r="Q648" s="5"/>
      <c r="R648" s="5"/>
      <c r="S648" s="5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</row>
    <row r="649">
      <c r="A649" s="31"/>
      <c r="B649" s="304"/>
      <c r="C649" s="5"/>
      <c r="D649" s="5"/>
      <c r="E649" s="4"/>
      <c r="F649" s="4"/>
      <c r="G649" s="4"/>
      <c r="H649" s="4"/>
      <c r="I649" s="5"/>
      <c r="J649" s="4"/>
      <c r="K649" s="4"/>
      <c r="L649" s="4"/>
      <c r="M649" s="4"/>
      <c r="N649" s="5"/>
      <c r="O649" s="5"/>
      <c r="P649" s="5"/>
      <c r="Q649" s="5"/>
      <c r="R649" s="5"/>
      <c r="S649" s="5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</row>
    <row r="650">
      <c r="A650" s="31"/>
      <c r="B650" s="304"/>
      <c r="C650" s="5"/>
      <c r="D650" s="5"/>
      <c r="E650" s="4"/>
      <c r="F650" s="4"/>
      <c r="G650" s="4"/>
      <c r="H650" s="4"/>
      <c r="I650" s="5"/>
      <c r="J650" s="4"/>
      <c r="K650" s="4"/>
      <c r="L650" s="4"/>
      <c r="M650" s="4"/>
      <c r="N650" s="5"/>
      <c r="O650" s="5"/>
      <c r="P650" s="5"/>
      <c r="Q650" s="5"/>
      <c r="R650" s="5"/>
      <c r="S650" s="5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</row>
    <row r="651">
      <c r="A651" s="31"/>
      <c r="B651" s="304"/>
      <c r="C651" s="5"/>
      <c r="D651" s="5"/>
      <c r="E651" s="4"/>
      <c r="F651" s="4"/>
      <c r="G651" s="4"/>
      <c r="H651" s="4"/>
      <c r="I651" s="5"/>
      <c r="J651" s="4"/>
      <c r="K651" s="4"/>
      <c r="L651" s="4"/>
      <c r="M651" s="4"/>
      <c r="N651" s="5"/>
      <c r="O651" s="5"/>
      <c r="P651" s="5"/>
      <c r="Q651" s="5"/>
      <c r="R651" s="5"/>
      <c r="S651" s="5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</row>
    <row r="652">
      <c r="A652" s="31"/>
      <c r="B652" s="304"/>
      <c r="C652" s="5"/>
      <c r="D652" s="5"/>
      <c r="E652" s="4"/>
      <c r="F652" s="4"/>
      <c r="G652" s="4"/>
      <c r="H652" s="4"/>
      <c r="I652" s="5"/>
      <c r="J652" s="4"/>
      <c r="K652" s="4"/>
      <c r="L652" s="4"/>
      <c r="M652" s="4"/>
      <c r="N652" s="5"/>
      <c r="O652" s="5"/>
      <c r="P652" s="5"/>
      <c r="Q652" s="5"/>
      <c r="R652" s="5"/>
      <c r="S652" s="5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</row>
    <row r="653">
      <c r="A653" s="31"/>
      <c r="B653" s="304"/>
      <c r="C653" s="5"/>
      <c r="D653" s="5"/>
      <c r="E653" s="4"/>
      <c r="F653" s="4"/>
      <c r="G653" s="4"/>
      <c r="H653" s="4"/>
      <c r="I653" s="5"/>
      <c r="J653" s="4"/>
      <c r="K653" s="4"/>
      <c r="L653" s="4"/>
      <c r="M653" s="4"/>
      <c r="N653" s="5"/>
      <c r="O653" s="5"/>
      <c r="P653" s="5"/>
      <c r="Q653" s="5"/>
      <c r="R653" s="5"/>
      <c r="S653" s="5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</row>
    <row r="654">
      <c r="A654" s="31"/>
      <c r="B654" s="304"/>
      <c r="C654" s="5"/>
      <c r="D654" s="5"/>
      <c r="E654" s="4"/>
      <c r="F654" s="4"/>
      <c r="G654" s="4"/>
      <c r="H654" s="4"/>
      <c r="I654" s="5"/>
      <c r="J654" s="4"/>
      <c r="K654" s="4"/>
      <c r="L654" s="4"/>
      <c r="M654" s="4"/>
      <c r="N654" s="5"/>
      <c r="O654" s="5"/>
      <c r="P654" s="5"/>
      <c r="Q654" s="5"/>
      <c r="R654" s="5"/>
      <c r="S654" s="5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</row>
    <row r="655">
      <c r="A655" s="31"/>
      <c r="B655" s="304"/>
      <c r="C655" s="5"/>
      <c r="D655" s="5"/>
      <c r="E655" s="4"/>
      <c r="F655" s="4"/>
      <c r="G655" s="4"/>
      <c r="H655" s="4"/>
      <c r="I655" s="5"/>
      <c r="J655" s="4"/>
      <c r="K655" s="4"/>
      <c r="L655" s="4"/>
      <c r="M655" s="4"/>
      <c r="N655" s="5"/>
      <c r="O655" s="5"/>
      <c r="P655" s="5"/>
      <c r="Q655" s="5"/>
      <c r="R655" s="5"/>
      <c r="S655" s="5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</row>
    <row r="656">
      <c r="A656" s="31"/>
      <c r="B656" s="304"/>
      <c r="C656" s="5"/>
      <c r="D656" s="5"/>
      <c r="E656" s="4"/>
      <c r="F656" s="4"/>
      <c r="G656" s="4"/>
      <c r="H656" s="4"/>
      <c r="I656" s="5"/>
      <c r="J656" s="4"/>
      <c r="K656" s="4"/>
      <c r="L656" s="4"/>
      <c r="M656" s="4"/>
      <c r="N656" s="5"/>
      <c r="O656" s="5"/>
      <c r="P656" s="5"/>
      <c r="Q656" s="5"/>
      <c r="R656" s="5"/>
      <c r="S656" s="5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</row>
    <row r="657">
      <c r="A657" s="31"/>
      <c r="B657" s="304"/>
      <c r="C657" s="5"/>
      <c r="D657" s="5"/>
      <c r="E657" s="4"/>
      <c r="F657" s="4"/>
      <c r="G657" s="4"/>
      <c r="H657" s="4"/>
      <c r="I657" s="5"/>
      <c r="J657" s="4"/>
      <c r="K657" s="4"/>
      <c r="L657" s="4"/>
      <c r="M657" s="4"/>
      <c r="N657" s="5"/>
      <c r="O657" s="5"/>
      <c r="P657" s="5"/>
      <c r="Q657" s="5"/>
      <c r="R657" s="5"/>
      <c r="S657" s="5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</row>
    <row r="658">
      <c r="A658" s="31"/>
      <c r="B658" s="304"/>
      <c r="C658" s="5"/>
      <c r="D658" s="5"/>
      <c r="E658" s="4"/>
      <c r="F658" s="4"/>
      <c r="G658" s="4"/>
      <c r="H658" s="4"/>
      <c r="I658" s="5"/>
      <c r="J658" s="4"/>
      <c r="K658" s="4"/>
      <c r="L658" s="4"/>
      <c r="M658" s="4"/>
      <c r="N658" s="5"/>
      <c r="O658" s="5"/>
      <c r="P658" s="5"/>
      <c r="Q658" s="5"/>
      <c r="R658" s="5"/>
      <c r="S658" s="5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</row>
    <row r="659">
      <c r="A659" s="31"/>
      <c r="B659" s="304"/>
      <c r="C659" s="5"/>
      <c r="D659" s="5"/>
      <c r="E659" s="4"/>
      <c r="F659" s="4"/>
      <c r="G659" s="4"/>
      <c r="H659" s="4"/>
      <c r="I659" s="5"/>
      <c r="J659" s="4"/>
      <c r="K659" s="4"/>
      <c r="L659" s="4"/>
      <c r="M659" s="4"/>
      <c r="N659" s="5"/>
      <c r="O659" s="5"/>
      <c r="P659" s="5"/>
      <c r="Q659" s="5"/>
      <c r="R659" s="5"/>
      <c r="S659" s="5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</row>
    <row r="660">
      <c r="A660" s="31"/>
      <c r="B660" s="304"/>
      <c r="C660" s="5"/>
      <c r="D660" s="5"/>
      <c r="E660" s="4"/>
      <c r="F660" s="4"/>
      <c r="G660" s="4"/>
      <c r="H660" s="4"/>
      <c r="I660" s="5"/>
      <c r="J660" s="4"/>
      <c r="K660" s="4"/>
      <c r="L660" s="4"/>
      <c r="M660" s="4"/>
      <c r="N660" s="5"/>
      <c r="O660" s="5"/>
      <c r="P660" s="5"/>
      <c r="Q660" s="5"/>
      <c r="R660" s="5"/>
      <c r="S660" s="5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</row>
    <row r="661">
      <c r="A661" s="31"/>
      <c r="B661" s="304"/>
      <c r="C661" s="5"/>
      <c r="D661" s="5"/>
      <c r="E661" s="4"/>
      <c r="F661" s="4"/>
      <c r="G661" s="4"/>
      <c r="H661" s="4"/>
      <c r="I661" s="5"/>
      <c r="J661" s="4"/>
      <c r="K661" s="4"/>
      <c r="L661" s="4"/>
      <c r="M661" s="4"/>
      <c r="N661" s="5"/>
      <c r="O661" s="5"/>
      <c r="P661" s="5"/>
      <c r="Q661" s="5"/>
      <c r="R661" s="5"/>
      <c r="S661" s="5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</row>
    <row r="662">
      <c r="A662" s="31"/>
      <c r="B662" s="304"/>
      <c r="C662" s="5"/>
      <c r="D662" s="5"/>
      <c r="E662" s="4"/>
      <c r="F662" s="4"/>
      <c r="G662" s="4"/>
      <c r="H662" s="4"/>
      <c r="I662" s="5"/>
      <c r="J662" s="4"/>
      <c r="K662" s="4"/>
      <c r="L662" s="4"/>
      <c r="M662" s="4"/>
      <c r="N662" s="5"/>
      <c r="O662" s="5"/>
      <c r="P662" s="5"/>
      <c r="Q662" s="5"/>
      <c r="R662" s="5"/>
      <c r="S662" s="5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</row>
    <row r="663">
      <c r="A663" s="31"/>
      <c r="B663" s="304"/>
      <c r="C663" s="5"/>
      <c r="D663" s="5"/>
      <c r="E663" s="4"/>
      <c r="F663" s="4"/>
      <c r="G663" s="4"/>
      <c r="H663" s="4"/>
      <c r="I663" s="5"/>
      <c r="J663" s="4"/>
      <c r="K663" s="4"/>
      <c r="L663" s="4"/>
      <c r="M663" s="4"/>
      <c r="N663" s="5"/>
      <c r="O663" s="5"/>
      <c r="P663" s="5"/>
      <c r="Q663" s="5"/>
      <c r="R663" s="5"/>
      <c r="S663" s="5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</row>
    <row r="664">
      <c r="A664" s="31"/>
      <c r="B664" s="304"/>
      <c r="C664" s="5"/>
      <c r="D664" s="5"/>
      <c r="E664" s="4"/>
      <c r="F664" s="4"/>
      <c r="G664" s="4"/>
      <c r="H664" s="4"/>
      <c r="I664" s="5"/>
      <c r="J664" s="4"/>
      <c r="K664" s="4"/>
      <c r="L664" s="4"/>
      <c r="M664" s="4"/>
      <c r="N664" s="5"/>
      <c r="O664" s="5"/>
      <c r="P664" s="5"/>
      <c r="Q664" s="5"/>
      <c r="R664" s="5"/>
      <c r="S664" s="5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</row>
    <row r="665">
      <c r="A665" s="31"/>
      <c r="B665" s="304"/>
      <c r="C665" s="5"/>
      <c r="D665" s="5"/>
      <c r="E665" s="4"/>
      <c r="F665" s="4"/>
      <c r="G665" s="4"/>
      <c r="H665" s="4"/>
      <c r="I665" s="5"/>
      <c r="J665" s="4"/>
      <c r="K665" s="4"/>
      <c r="L665" s="4"/>
      <c r="M665" s="4"/>
      <c r="N665" s="5"/>
      <c r="O665" s="5"/>
      <c r="P665" s="5"/>
      <c r="Q665" s="5"/>
      <c r="R665" s="5"/>
      <c r="S665" s="5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</row>
    <row r="666">
      <c r="A666" s="31"/>
      <c r="B666" s="304"/>
      <c r="C666" s="5"/>
      <c r="D666" s="5"/>
      <c r="E666" s="4"/>
      <c r="F666" s="4"/>
      <c r="G666" s="4"/>
      <c r="H666" s="4"/>
      <c r="I666" s="5"/>
      <c r="J666" s="4"/>
      <c r="K666" s="4"/>
      <c r="L666" s="4"/>
      <c r="M666" s="4"/>
      <c r="N666" s="5"/>
      <c r="O666" s="5"/>
      <c r="P666" s="5"/>
      <c r="Q666" s="5"/>
      <c r="R666" s="5"/>
      <c r="S666" s="5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</row>
    <row r="667">
      <c r="A667" s="31"/>
      <c r="B667" s="304"/>
      <c r="C667" s="5"/>
      <c r="D667" s="5"/>
      <c r="E667" s="4"/>
      <c r="F667" s="4"/>
      <c r="G667" s="4"/>
      <c r="H667" s="4"/>
      <c r="I667" s="5"/>
      <c r="J667" s="4"/>
      <c r="K667" s="4"/>
      <c r="L667" s="4"/>
      <c r="M667" s="4"/>
      <c r="N667" s="5"/>
      <c r="O667" s="5"/>
      <c r="P667" s="5"/>
      <c r="Q667" s="5"/>
      <c r="R667" s="5"/>
      <c r="S667" s="5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</row>
    <row r="668">
      <c r="A668" s="31"/>
      <c r="B668" s="304"/>
      <c r="C668" s="5"/>
      <c r="D668" s="5"/>
      <c r="E668" s="4"/>
      <c r="F668" s="4"/>
      <c r="G668" s="4"/>
      <c r="H668" s="4"/>
      <c r="I668" s="5"/>
      <c r="J668" s="4"/>
      <c r="K668" s="4"/>
      <c r="L668" s="4"/>
      <c r="M668" s="4"/>
      <c r="N668" s="5"/>
      <c r="O668" s="5"/>
      <c r="P668" s="5"/>
      <c r="Q668" s="5"/>
      <c r="R668" s="5"/>
      <c r="S668" s="5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</row>
    <row r="669">
      <c r="A669" s="31"/>
      <c r="B669" s="304"/>
      <c r="C669" s="5"/>
      <c r="D669" s="5"/>
      <c r="E669" s="4"/>
      <c r="F669" s="4"/>
      <c r="G669" s="4"/>
      <c r="H669" s="4"/>
      <c r="I669" s="5"/>
      <c r="J669" s="4"/>
      <c r="K669" s="4"/>
      <c r="L669" s="4"/>
      <c r="M669" s="4"/>
      <c r="N669" s="5"/>
      <c r="O669" s="5"/>
      <c r="P669" s="5"/>
      <c r="Q669" s="5"/>
      <c r="R669" s="5"/>
      <c r="S669" s="5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</row>
    <row r="670">
      <c r="A670" s="31"/>
      <c r="B670" s="304"/>
      <c r="C670" s="5"/>
      <c r="D670" s="5"/>
      <c r="E670" s="4"/>
      <c r="F670" s="4"/>
      <c r="G670" s="4"/>
      <c r="H670" s="4"/>
      <c r="I670" s="5"/>
      <c r="J670" s="4"/>
      <c r="K670" s="4"/>
      <c r="L670" s="4"/>
      <c r="M670" s="4"/>
      <c r="N670" s="5"/>
      <c r="O670" s="5"/>
      <c r="P670" s="5"/>
      <c r="Q670" s="5"/>
      <c r="R670" s="5"/>
      <c r="S670" s="5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</row>
    <row r="671">
      <c r="A671" s="31"/>
      <c r="B671" s="304"/>
      <c r="C671" s="5"/>
      <c r="D671" s="5"/>
      <c r="E671" s="4"/>
      <c r="F671" s="4"/>
      <c r="G671" s="4"/>
      <c r="H671" s="4"/>
      <c r="I671" s="5"/>
      <c r="J671" s="4"/>
      <c r="K671" s="4"/>
      <c r="L671" s="4"/>
      <c r="M671" s="4"/>
      <c r="N671" s="5"/>
      <c r="O671" s="5"/>
      <c r="P671" s="5"/>
      <c r="Q671" s="5"/>
      <c r="R671" s="5"/>
      <c r="S671" s="5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</row>
    <row r="672">
      <c r="A672" s="31"/>
      <c r="B672" s="304"/>
      <c r="C672" s="5"/>
      <c r="D672" s="5"/>
      <c r="E672" s="4"/>
      <c r="F672" s="4"/>
      <c r="G672" s="4"/>
      <c r="H672" s="4"/>
      <c r="I672" s="5"/>
      <c r="J672" s="4"/>
      <c r="K672" s="4"/>
      <c r="L672" s="4"/>
      <c r="M672" s="4"/>
      <c r="N672" s="5"/>
      <c r="O672" s="5"/>
      <c r="P672" s="5"/>
      <c r="Q672" s="5"/>
      <c r="R672" s="5"/>
      <c r="S672" s="5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</row>
    <row r="673">
      <c r="A673" s="31"/>
      <c r="B673" s="304"/>
      <c r="C673" s="5"/>
      <c r="D673" s="5"/>
      <c r="E673" s="4"/>
      <c r="F673" s="4"/>
      <c r="G673" s="4"/>
      <c r="H673" s="4"/>
      <c r="I673" s="5"/>
      <c r="J673" s="4"/>
      <c r="K673" s="4"/>
      <c r="L673" s="4"/>
      <c r="M673" s="4"/>
      <c r="N673" s="5"/>
      <c r="O673" s="5"/>
      <c r="P673" s="5"/>
      <c r="Q673" s="5"/>
      <c r="R673" s="5"/>
      <c r="S673" s="5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</row>
    <row r="674">
      <c r="A674" s="31"/>
      <c r="B674" s="304"/>
      <c r="C674" s="5"/>
      <c r="D674" s="5"/>
      <c r="E674" s="4"/>
      <c r="F674" s="4"/>
      <c r="G674" s="4"/>
      <c r="H674" s="4"/>
      <c r="I674" s="5"/>
      <c r="J674" s="4"/>
      <c r="K674" s="4"/>
      <c r="L674" s="4"/>
      <c r="M674" s="4"/>
      <c r="N674" s="5"/>
      <c r="O674" s="5"/>
      <c r="P674" s="5"/>
      <c r="Q674" s="5"/>
      <c r="R674" s="5"/>
      <c r="S674" s="5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</row>
    <row r="675">
      <c r="A675" s="31"/>
      <c r="B675" s="304"/>
      <c r="C675" s="5"/>
      <c r="D675" s="5"/>
      <c r="E675" s="4"/>
      <c r="F675" s="4"/>
      <c r="G675" s="4"/>
      <c r="H675" s="4"/>
      <c r="I675" s="5"/>
      <c r="J675" s="4"/>
      <c r="K675" s="4"/>
      <c r="L675" s="4"/>
      <c r="M675" s="4"/>
      <c r="N675" s="5"/>
      <c r="O675" s="5"/>
      <c r="P675" s="5"/>
      <c r="Q675" s="5"/>
      <c r="R675" s="5"/>
      <c r="S675" s="5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</row>
    <row r="676">
      <c r="A676" s="31"/>
      <c r="B676" s="304"/>
      <c r="C676" s="5"/>
      <c r="D676" s="5"/>
      <c r="E676" s="4"/>
      <c r="F676" s="4"/>
      <c r="G676" s="4"/>
      <c r="H676" s="4"/>
      <c r="I676" s="5"/>
      <c r="J676" s="4"/>
      <c r="K676" s="4"/>
      <c r="L676" s="4"/>
      <c r="M676" s="4"/>
      <c r="N676" s="5"/>
      <c r="O676" s="5"/>
      <c r="P676" s="5"/>
      <c r="Q676" s="5"/>
      <c r="R676" s="5"/>
      <c r="S676" s="5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</row>
    <row r="677">
      <c r="A677" s="31"/>
      <c r="B677" s="304"/>
      <c r="C677" s="5"/>
      <c r="D677" s="5"/>
      <c r="E677" s="4"/>
      <c r="F677" s="4"/>
      <c r="G677" s="4"/>
      <c r="H677" s="4"/>
      <c r="I677" s="5"/>
      <c r="J677" s="4"/>
      <c r="K677" s="4"/>
      <c r="L677" s="4"/>
      <c r="M677" s="4"/>
      <c r="N677" s="5"/>
      <c r="O677" s="5"/>
      <c r="P677" s="5"/>
      <c r="Q677" s="5"/>
      <c r="R677" s="5"/>
      <c r="S677" s="5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</row>
    <row r="678">
      <c r="A678" s="31"/>
      <c r="B678" s="304"/>
      <c r="C678" s="5"/>
      <c r="D678" s="5"/>
      <c r="E678" s="4"/>
      <c r="F678" s="4"/>
      <c r="G678" s="4"/>
      <c r="H678" s="4"/>
      <c r="I678" s="5"/>
      <c r="J678" s="4"/>
      <c r="K678" s="4"/>
      <c r="L678" s="4"/>
      <c r="M678" s="4"/>
      <c r="N678" s="5"/>
      <c r="O678" s="5"/>
      <c r="P678" s="5"/>
      <c r="Q678" s="5"/>
      <c r="R678" s="5"/>
      <c r="S678" s="5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</row>
    <row r="679">
      <c r="A679" s="31"/>
      <c r="B679" s="304"/>
      <c r="C679" s="5"/>
      <c r="D679" s="5"/>
      <c r="E679" s="4"/>
      <c r="F679" s="4"/>
      <c r="G679" s="4"/>
      <c r="H679" s="4"/>
      <c r="I679" s="5"/>
      <c r="J679" s="4"/>
      <c r="K679" s="4"/>
      <c r="L679" s="4"/>
      <c r="M679" s="4"/>
      <c r="N679" s="5"/>
      <c r="O679" s="5"/>
      <c r="P679" s="5"/>
      <c r="Q679" s="5"/>
      <c r="R679" s="5"/>
      <c r="S679" s="5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</row>
    <row r="680">
      <c r="A680" s="31"/>
      <c r="B680" s="304"/>
      <c r="C680" s="5"/>
      <c r="D680" s="5"/>
      <c r="E680" s="4"/>
      <c r="F680" s="4"/>
      <c r="G680" s="4"/>
      <c r="H680" s="4"/>
      <c r="I680" s="5"/>
      <c r="J680" s="4"/>
      <c r="K680" s="4"/>
      <c r="L680" s="4"/>
      <c r="M680" s="4"/>
      <c r="N680" s="5"/>
      <c r="O680" s="5"/>
      <c r="P680" s="5"/>
      <c r="Q680" s="5"/>
      <c r="R680" s="5"/>
      <c r="S680" s="5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</row>
    <row r="681">
      <c r="A681" s="31"/>
      <c r="B681" s="304"/>
      <c r="C681" s="5"/>
      <c r="D681" s="5"/>
      <c r="E681" s="4"/>
      <c r="F681" s="4"/>
      <c r="G681" s="4"/>
      <c r="H681" s="4"/>
      <c r="I681" s="5"/>
      <c r="J681" s="4"/>
      <c r="K681" s="4"/>
      <c r="L681" s="4"/>
      <c r="M681" s="4"/>
      <c r="N681" s="5"/>
      <c r="O681" s="5"/>
      <c r="P681" s="5"/>
      <c r="Q681" s="5"/>
      <c r="R681" s="5"/>
      <c r="S681" s="5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</row>
    <row r="682">
      <c r="A682" s="31"/>
      <c r="B682" s="304"/>
      <c r="C682" s="5"/>
      <c r="D682" s="5"/>
      <c r="E682" s="4"/>
      <c r="F682" s="4"/>
      <c r="G682" s="4"/>
      <c r="H682" s="4"/>
      <c r="I682" s="5"/>
      <c r="J682" s="4"/>
      <c r="K682" s="4"/>
      <c r="L682" s="4"/>
      <c r="M682" s="4"/>
      <c r="N682" s="5"/>
      <c r="O682" s="5"/>
      <c r="P682" s="5"/>
      <c r="Q682" s="5"/>
      <c r="R682" s="5"/>
      <c r="S682" s="5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</row>
    <row r="683">
      <c r="A683" s="31"/>
      <c r="B683" s="304"/>
      <c r="C683" s="5"/>
      <c r="D683" s="5"/>
      <c r="E683" s="4"/>
      <c r="F683" s="4"/>
      <c r="G683" s="4"/>
      <c r="H683" s="4"/>
      <c r="I683" s="5"/>
      <c r="J683" s="4"/>
      <c r="K683" s="4"/>
      <c r="L683" s="4"/>
      <c r="M683" s="4"/>
      <c r="N683" s="5"/>
      <c r="O683" s="5"/>
      <c r="P683" s="5"/>
      <c r="Q683" s="5"/>
      <c r="R683" s="5"/>
      <c r="S683" s="5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</row>
    <row r="684">
      <c r="A684" s="31"/>
      <c r="B684" s="304"/>
      <c r="C684" s="5"/>
      <c r="D684" s="5"/>
      <c r="E684" s="4"/>
      <c r="F684" s="4"/>
      <c r="G684" s="4"/>
      <c r="H684" s="4"/>
      <c r="I684" s="5"/>
      <c r="J684" s="4"/>
      <c r="K684" s="4"/>
      <c r="L684" s="4"/>
      <c r="M684" s="4"/>
      <c r="N684" s="5"/>
      <c r="O684" s="5"/>
      <c r="P684" s="5"/>
      <c r="Q684" s="5"/>
      <c r="R684" s="5"/>
      <c r="S684" s="5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</row>
    <row r="685">
      <c r="A685" s="31"/>
      <c r="B685" s="304"/>
      <c r="C685" s="5"/>
      <c r="D685" s="5"/>
      <c r="E685" s="4"/>
      <c r="F685" s="4"/>
      <c r="G685" s="4"/>
      <c r="H685" s="4"/>
      <c r="I685" s="5"/>
      <c r="J685" s="4"/>
      <c r="K685" s="4"/>
      <c r="L685" s="4"/>
      <c r="M685" s="4"/>
      <c r="N685" s="5"/>
      <c r="O685" s="5"/>
      <c r="P685" s="5"/>
      <c r="Q685" s="5"/>
      <c r="R685" s="5"/>
      <c r="S685" s="5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</row>
    <row r="686">
      <c r="A686" s="31"/>
      <c r="B686" s="304"/>
      <c r="C686" s="5"/>
      <c r="D686" s="5"/>
      <c r="E686" s="4"/>
      <c r="F686" s="4"/>
      <c r="G686" s="4"/>
      <c r="H686" s="4"/>
      <c r="I686" s="5"/>
      <c r="J686" s="4"/>
      <c r="K686" s="4"/>
      <c r="L686" s="4"/>
      <c r="M686" s="4"/>
      <c r="N686" s="5"/>
      <c r="O686" s="5"/>
      <c r="P686" s="5"/>
      <c r="Q686" s="5"/>
      <c r="R686" s="5"/>
      <c r="S686" s="5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</row>
    <row r="687">
      <c r="A687" s="31"/>
      <c r="B687" s="304"/>
      <c r="C687" s="5"/>
      <c r="D687" s="5"/>
      <c r="E687" s="4"/>
      <c r="F687" s="4"/>
      <c r="G687" s="4"/>
      <c r="H687" s="4"/>
      <c r="I687" s="5"/>
      <c r="J687" s="4"/>
      <c r="K687" s="4"/>
      <c r="L687" s="4"/>
      <c r="M687" s="4"/>
      <c r="N687" s="5"/>
      <c r="O687" s="5"/>
      <c r="P687" s="5"/>
      <c r="Q687" s="5"/>
      <c r="R687" s="5"/>
      <c r="S687" s="5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</row>
    <row r="688">
      <c r="A688" s="31"/>
      <c r="B688" s="304"/>
      <c r="C688" s="5"/>
      <c r="D688" s="5"/>
      <c r="E688" s="4"/>
      <c r="F688" s="4"/>
      <c r="G688" s="4"/>
      <c r="H688" s="4"/>
      <c r="I688" s="5"/>
      <c r="J688" s="4"/>
      <c r="K688" s="4"/>
      <c r="L688" s="4"/>
      <c r="M688" s="4"/>
      <c r="N688" s="5"/>
      <c r="O688" s="5"/>
      <c r="P688" s="5"/>
      <c r="Q688" s="5"/>
      <c r="R688" s="5"/>
      <c r="S688" s="5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</row>
    <row r="689">
      <c r="A689" s="31"/>
      <c r="B689" s="304"/>
      <c r="C689" s="5"/>
      <c r="D689" s="5"/>
      <c r="E689" s="4"/>
      <c r="F689" s="4"/>
      <c r="G689" s="4"/>
      <c r="H689" s="4"/>
      <c r="I689" s="5"/>
      <c r="J689" s="4"/>
      <c r="K689" s="4"/>
      <c r="L689" s="4"/>
      <c r="M689" s="4"/>
      <c r="N689" s="5"/>
      <c r="O689" s="5"/>
      <c r="P689" s="5"/>
      <c r="Q689" s="5"/>
      <c r="R689" s="5"/>
      <c r="S689" s="5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</row>
    <row r="690">
      <c r="A690" s="31"/>
      <c r="B690" s="304"/>
      <c r="C690" s="5"/>
      <c r="D690" s="5"/>
      <c r="E690" s="4"/>
      <c r="F690" s="4"/>
      <c r="G690" s="4"/>
      <c r="H690" s="4"/>
      <c r="I690" s="5"/>
      <c r="J690" s="4"/>
      <c r="K690" s="4"/>
      <c r="L690" s="4"/>
      <c r="M690" s="4"/>
      <c r="N690" s="5"/>
      <c r="O690" s="5"/>
      <c r="P690" s="5"/>
      <c r="Q690" s="5"/>
      <c r="R690" s="5"/>
      <c r="S690" s="5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</row>
    <row r="691">
      <c r="A691" s="31"/>
      <c r="B691" s="304"/>
      <c r="C691" s="5"/>
      <c r="D691" s="5"/>
      <c r="E691" s="4"/>
      <c r="F691" s="4"/>
      <c r="G691" s="4"/>
      <c r="H691" s="4"/>
      <c r="I691" s="5"/>
      <c r="J691" s="4"/>
      <c r="K691" s="4"/>
      <c r="L691" s="4"/>
      <c r="M691" s="4"/>
      <c r="N691" s="5"/>
      <c r="O691" s="5"/>
      <c r="P691" s="5"/>
      <c r="Q691" s="5"/>
      <c r="R691" s="5"/>
      <c r="S691" s="5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</row>
    <row r="692">
      <c r="A692" s="31"/>
      <c r="B692" s="304"/>
      <c r="C692" s="5"/>
      <c r="D692" s="5"/>
      <c r="E692" s="4"/>
      <c r="F692" s="4"/>
      <c r="G692" s="4"/>
      <c r="H692" s="4"/>
      <c r="I692" s="5"/>
      <c r="J692" s="4"/>
      <c r="K692" s="4"/>
      <c r="L692" s="4"/>
      <c r="M692" s="4"/>
      <c r="N692" s="5"/>
      <c r="O692" s="5"/>
      <c r="P692" s="5"/>
      <c r="Q692" s="5"/>
      <c r="R692" s="5"/>
      <c r="S692" s="5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</row>
    <row r="693">
      <c r="A693" s="31"/>
      <c r="B693" s="304"/>
      <c r="C693" s="5"/>
      <c r="D693" s="5"/>
      <c r="E693" s="4"/>
      <c r="F693" s="4"/>
      <c r="G693" s="4"/>
      <c r="H693" s="4"/>
      <c r="I693" s="5"/>
      <c r="J693" s="4"/>
      <c r="K693" s="4"/>
      <c r="L693" s="4"/>
      <c r="M693" s="4"/>
      <c r="N693" s="5"/>
      <c r="O693" s="5"/>
      <c r="P693" s="5"/>
      <c r="Q693" s="5"/>
      <c r="R693" s="5"/>
      <c r="S693" s="5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</row>
    <row r="694">
      <c r="A694" s="31"/>
      <c r="B694" s="304"/>
      <c r="C694" s="5"/>
      <c r="D694" s="5"/>
      <c r="E694" s="4"/>
      <c r="F694" s="4"/>
      <c r="G694" s="4"/>
      <c r="H694" s="4"/>
      <c r="I694" s="5"/>
      <c r="J694" s="4"/>
      <c r="K694" s="4"/>
      <c r="L694" s="4"/>
      <c r="M694" s="4"/>
      <c r="N694" s="5"/>
      <c r="O694" s="5"/>
      <c r="P694" s="5"/>
      <c r="Q694" s="5"/>
      <c r="R694" s="5"/>
      <c r="S694" s="5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</row>
    <row r="695">
      <c r="A695" s="31"/>
      <c r="B695" s="304"/>
      <c r="C695" s="5"/>
      <c r="D695" s="5"/>
      <c r="E695" s="4"/>
      <c r="F695" s="4"/>
      <c r="G695" s="4"/>
      <c r="H695" s="4"/>
      <c r="I695" s="5"/>
      <c r="J695" s="4"/>
      <c r="K695" s="4"/>
      <c r="L695" s="4"/>
      <c r="M695" s="4"/>
      <c r="N695" s="5"/>
      <c r="O695" s="5"/>
      <c r="P695" s="5"/>
      <c r="Q695" s="5"/>
      <c r="R695" s="5"/>
      <c r="S695" s="5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</row>
    <row r="696">
      <c r="A696" s="31"/>
      <c r="B696" s="304"/>
      <c r="C696" s="5"/>
      <c r="D696" s="5"/>
      <c r="E696" s="4"/>
      <c r="F696" s="4"/>
      <c r="G696" s="4"/>
      <c r="H696" s="4"/>
      <c r="I696" s="5"/>
      <c r="J696" s="4"/>
      <c r="K696" s="4"/>
      <c r="L696" s="4"/>
      <c r="M696" s="4"/>
      <c r="N696" s="5"/>
      <c r="O696" s="5"/>
      <c r="P696" s="5"/>
      <c r="Q696" s="5"/>
      <c r="R696" s="5"/>
      <c r="S696" s="5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</row>
    <row r="697">
      <c r="A697" s="31"/>
      <c r="B697" s="304"/>
      <c r="C697" s="5"/>
      <c r="D697" s="5"/>
      <c r="E697" s="4"/>
      <c r="F697" s="4"/>
      <c r="G697" s="4"/>
      <c r="H697" s="4"/>
      <c r="I697" s="5"/>
      <c r="J697" s="4"/>
      <c r="K697" s="4"/>
      <c r="L697" s="4"/>
      <c r="M697" s="4"/>
      <c r="N697" s="5"/>
      <c r="O697" s="5"/>
      <c r="P697" s="5"/>
      <c r="Q697" s="5"/>
      <c r="R697" s="5"/>
      <c r="S697" s="5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</row>
    <row r="698">
      <c r="A698" s="31"/>
      <c r="B698" s="304"/>
      <c r="C698" s="5"/>
      <c r="D698" s="5"/>
      <c r="E698" s="4"/>
      <c r="F698" s="4"/>
      <c r="G698" s="4"/>
      <c r="H698" s="4"/>
      <c r="I698" s="5"/>
      <c r="J698" s="4"/>
      <c r="K698" s="4"/>
      <c r="L698" s="4"/>
      <c r="M698" s="4"/>
      <c r="N698" s="5"/>
      <c r="O698" s="5"/>
      <c r="P698" s="5"/>
      <c r="Q698" s="5"/>
      <c r="R698" s="5"/>
      <c r="S698" s="5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</row>
    <row r="699">
      <c r="A699" s="31"/>
      <c r="B699" s="304"/>
      <c r="C699" s="5"/>
      <c r="D699" s="5"/>
      <c r="E699" s="4"/>
      <c r="F699" s="4"/>
      <c r="G699" s="4"/>
      <c r="H699" s="4"/>
      <c r="I699" s="5"/>
      <c r="J699" s="4"/>
      <c r="K699" s="4"/>
      <c r="L699" s="4"/>
      <c r="M699" s="4"/>
      <c r="N699" s="5"/>
      <c r="O699" s="5"/>
      <c r="P699" s="5"/>
      <c r="Q699" s="5"/>
      <c r="R699" s="5"/>
      <c r="S699" s="5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</row>
    <row r="700">
      <c r="A700" s="31"/>
      <c r="B700" s="304"/>
      <c r="C700" s="5"/>
      <c r="D700" s="5"/>
      <c r="E700" s="4"/>
      <c r="F700" s="4"/>
      <c r="G700" s="4"/>
      <c r="H700" s="4"/>
      <c r="I700" s="5"/>
      <c r="J700" s="4"/>
      <c r="K700" s="4"/>
      <c r="L700" s="4"/>
      <c r="M700" s="4"/>
      <c r="N700" s="5"/>
      <c r="O700" s="5"/>
      <c r="P700" s="5"/>
      <c r="Q700" s="5"/>
      <c r="R700" s="5"/>
      <c r="S700" s="5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</row>
    <row r="701">
      <c r="A701" s="31"/>
      <c r="B701" s="304"/>
      <c r="C701" s="5"/>
      <c r="D701" s="5"/>
      <c r="E701" s="4"/>
      <c r="F701" s="4"/>
      <c r="G701" s="4"/>
      <c r="H701" s="4"/>
      <c r="I701" s="5"/>
      <c r="J701" s="4"/>
      <c r="K701" s="4"/>
      <c r="L701" s="4"/>
      <c r="M701" s="4"/>
      <c r="N701" s="5"/>
      <c r="O701" s="5"/>
      <c r="P701" s="5"/>
      <c r="Q701" s="5"/>
      <c r="R701" s="5"/>
      <c r="S701" s="5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</row>
    <row r="702">
      <c r="A702" s="31"/>
      <c r="B702" s="304"/>
      <c r="C702" s="5"/>
      <c r="D702" s="5"/>
      <c r="E702" s="4"/>
      <c r="F702" s="4"/>
      <c r="G702" s="4"/>
      <c r="H702" s="4"/>
      <c r="I702" s="5"/>
      <c r="J702" s="4"/>
      <c r="K702" s="4"/>
      <c r="L702" s="4"/>
      <c r="M702" s="4"/>
      <c r="N702" s="5"/>
      <c r="O702" s="5"/>
      <c r="P702" s="5"/>
      <c r="Q702" s="5"/>
      <c r="R702" s="5"/>
      <c r="S702" s="5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</row>
    <row r="703">
      <c r="A703" s="31"/>
      <c r="B703" s="304"/>
      <c r="C703" s="5"/>
      <c r="D703" s="5"/>
      <c r="E703" s="4"/>
      <c r="F703" s="4"/>
      <c r="G703" s="4"/>
      <c r="H703" s="4"/>
      <c r="I703" s="5"/>
      <c r="J703" s="4"/>
      <c r="K703" s="4"/>
      <c r="L703" s="4"/>
      <c r="M703" s="4"/>
      <c r="N703" s="5"/>
      <c r="O703" s="5"/>
      <c r="P703" s="5"/>
      <c r="Q703" s="5"/>
      <c r="R703" s="5"/>
      <c r="S703" s="5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</row>
    <row r="704">
      <c r="A704" s="31"/>
      <c r="B704" s="304"/>
      <c r="C704" s="5"/>
      <c r="D704" s="5"/>
      <c r="E704" s="4"/>
      <c r="F704" s="4"/>
      <c r="G704" s="4"/>
      <c r="H704" s="4"/>
      <c r="I704" s="5"/>
      <c r="J704" s="4"/>
      <c r="K704" s="4"/>
      <c r="L704" s="4"/>
      <c r="M704" s="4"/>
      <c r="N704" s="5"/>
      <c r="O704" s="5"/>
      <c r="P704" s="5"/>
      <c r="Q704" s="5"/>
      <c r="R704" s="5"/>
      <c r="S704" s="5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</row>
    <row r="705">
      <c r="A705" s="31"/>
      <c r="B705" s="304"/>
      <c r="C705" s="5"/>
      <c r="D705" s="5"/>
      <c r="E705" s="4"/>
      <c r="F705" s="4"/>
      <c r="G705" s="4"/>
      <c r="H705" s="4"/>
      <c r="I705" s="5"/>
      <c r="J705" s="4"/>
      <c r="K705" s="4"/>
      <c r="L705" s="4"/>
      <c r="M705" s="4"/>
      <c r="N705" s="5"/>
      <c r="O705" s="5"/>
      <c r="P705" s="5"/>
      <c r="Q705" s="5"/>
      <c r="R705" s="5"/>
      <c r="S705" s="5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</row>
    <row r="706">
      <c r="A706" s="31"/>
      <c r="B706" s="304"/>
      <c r="C706" s="5"/>
      <c r="D706" s="5"/>
      <c r="E706" s="4"/>
      <c r="F706" s="4"/>
      <c r="G706" s="4"/>
      <c r="H706" s="4"/>
      <c r="I706" s="5"/>
      <c r="J706" s="4"/>
      <c r="K706" s="4"/>
      <c r="L706" s="4"/>
      <c r="M706" s="4"/>
      <c r="N706" s="5"/>
      <c r="O706" s="5"/>
      <c r="P706" s="5"/>
      <c r="Q706" s="5"/>
      <c r="R706" s="5"/>
      <c r="S706" s="5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</row>
    <row r="707">
      <c r="A707" s="31"/>
      <c r="B707" s="304"/>
      <c r="C707" s="5"/>
      <c r="D707" s="5"/>
      <c r="E707" s="4"/>
      <c r="F707" s="4"/>
      <c r="G707" s="4"/>
      <c r="H707" s="4"/>
      <c r="I707" s="5"/>
      <c r="J707" s="4"/>
      <c r="K707" s="4"/>
      <c r="L707" s="4"/>
      <c r="M707" s="4"/>
      <c r="N707" s="5"/>
      <c r="O707" s="5"/>
      <c r="P707" s="5"/>
      <c r="Q707" s="5"/>
      <c r="R707" s="5"/>
      <c r="S707" s="5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</row>
    <row r="708">
      <c r="A708" s="31"/>
      <c r="B708" s="304"/>
      <c r="C708" s="5"/>
      <c r="D708" s="5"/>
      <c r="E708" s="4"/>
      <c r="F708" s="4"/>
      <c r="G708" s="4"/>
      <c r="H708" s="4"/>
      <c r="I708" s="5"/>
      <c r="J708" s="4"/>
      <c r="K708" s="4"/>
      <c r="L708" s="4"/>
      <c r="M708" s="4"/>
      <c r="N708" s="5"/>
      <c r="O708" s="5"/>
      <c r="P708" s="5"/>
      <c r="Q708" s="5"/>
      <c r="R708" s="5"/>
      <c r="S708" s="5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</row>
    <row r="709">
      <c r="A709" s="31"/>
      <c r="B709" s="304"/>
      <c r="C709" s="5"/>
      <c r="D709" s="5"/>
      <c r="E709" s="4"/>
      <c r="F709" s="4"/>
      <c r="G709" s="4"/>
      <c r="H709" s="4"/>
      <c r="I709" s="5"/>
      <c r="J709" s="4"/>
      <c r="K709" s="4"/>
      <c r="L709" s="4"/>
      <c r="M709" s="4"/>
      <c r="N709" s="5"/>
      <c r="O709" s="5"/>
      <c r="P709" s="5"/>
      <c r="Q709" s="5"/>
      <c r="R709" s="5"/>
      <c r="S709" s="5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</row>
    <row r="710">
      <c r="A710" s="31"/>
      <c r="B710" s="304"/>
      <c r="C710" s="5"/>
      <c r="D710" s="5"/>
      <c r="E710" s="4"/>
      <c r="F710" s="4"/>
      <c r="G710" s="4"/>
      <c r="H710" s="4"/>
      <c r="I710" s="5"/>
      <c r="J710" s="4"/>
      <c r="K710" s="4"/>
      <c r="L710" s="4"/>
      <c r="M710" s="4"/>
      <c r="N710" s="5"/>
      <c r="O710" s="5"/>
      <c r="P710" s="5"/>
      <c r="Q710" s="5"/>
      <c r="R710" s="5"/>
      <c r="S710" s="5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</row>
    <row r="711">
      <c r="A711" s="31"/>
      <c r="B711" s="304"/>
      <c r="C711" s="5"/>
      <c r="D711" s="5"/>
      <c r="E711" s="4"/>
      <c r="F711" s="4"/>
      <c r="G711" s="4"/>
      <c r="H711" s="4"/>
      <c r="I711" s="5"/>
      <c r="J711" s="4"/>
      <c r="K711" s="4"/>
      <c r="L711" s="4"/>
      <c r="M711" s="4"/>
      <c r="N711" s="5"/>
      <c r="O711" s="5"/>
      <c r="P711" s="5"/>
      <c r="Q711" s="5"/>
      <c r="R711" s="5"/>
      <c r="S711" s="5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</row>
    <row r="712">
      <c r="A712" s="31"/>
      <c r="B712" s="304"/>
      <c r="C712" s="5"/>
      <c r="D712" s="5"/>
      <c r="E712" s="4"/>
      <c r="F712" s="4"/>
      <c r="G712" s="4"/>
      <c r="H712" s="4"/>
      <c r="I712" s="5"/>
      <c r="J712" s="4"/>
      <c r="K712" s="4"/>
      <c r="L712" s="4"/>
      <c r="M712" s="4"/>
      <c r="N712" s="5"/>
      <c r="O712" s="5"/>
      <c r="P712" s="5"/>
      <c r="Q712" s="5"/>
      <c r="R712" s="5"/>
      <c r="S712" s="5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</row>
    <row r="713">
      <c r="A713" s="31"/>
      <c r="B713" s="304"/>
      <c r="C713" s="5"/>
      <c r="D713" s="5"/>
      <c r="E713" s="4"/>
      <c r="F713" s="4"/>
      <c r="G713" s="4"/>
      <c r="H713" s="4"/>
      <c r="I713" s="5"/>
      <c r="J713" s="4"/>
      <c r="K713" s="4"/>
      <c r="L713" s="4"/>
      <c r="M713" s="4"/>
      <c r="N713" s="5"/>
      <c r="O713" s="5"/>
      <c r="P713" s="5"/>
      <c r="Q713" s="5"/>
      <c r="R713" s="5"/>
      <c r="S713" s="5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</row>
    <row r="714">
      <c r="A714" s="31"/>
      <c r="B714" s="304"/>
      <c r="C714" s="5"/>
      <c r="D714" s="5"/>
      <c r="E714" s="4"/>
      <c r="F714" s="4"/>
      <c r="G714" s="4"/>
      <c r="H714" s="4"/>
      <c r="I714" s="5"/>
      <c r="J714" s="4"/>
      <c r="K714" s="4"/>
      <c r="L714" s="4"/>
      <c r="M714" s="4"/>
      <c r="N714" s="5"/>
      <c r="O714" s="5"/>
      <c r="P714" s="5"/>
      <c r="Q714" s="5"/>
      <c r="R714" s="5"/>
      <c r="S714" s="5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</row>
    <row r="715">
      <c r="A715" s="31"/>
      <c r="B715" s="304"/>
      <c r="C715" s="5"/>
      <c r="D715" s="5"/>
      <c r="E715" s="4"/>
      <c r="F715" s="4"/>
      <c r="G715" s="4"/>
      <c r="H715" s="4"/>
      <c r="I715" s="5"/>
      <c r="J715" s="4"/>
      <c r="K715" s="4"/>
      <c r="L715" s="4"/>
      <c r="M715" s="4"/>
      <c r="N715" s="5"/>
      <c r="O715" s="5"/>
      <c r="P715" s="5"/>
      <c r="Q715" s="5"/>
      <c r="R715" s="5"/>
      <c r="S715" s="5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</row>
    <row r="716">
      <c r="A716" s="31"/>
      <c r="B716" s="304"/>
      <c r="C716" s="5"/>
      <c r="D716" s="5"/>
      <c r="E716" s="4"/>
      <c r="F716" s="4"/>
      <c r="G716" s="4"/>
      <c r="H716" s="4"/>
      <c r="I716" s="5"/>
      <c r="J716" s="4"/>
      <c r="K716" s="4"/>
      <c r="L716" s="4"/>
      <c r="M716" s="4"/>
      <c r="N716" s="5"/>
      <c r="O716" s="5"/>
      <c r="P716" s="5"/>
      <c r="Q716" s="5"/>
      <c r="R716" s="5"/>
      <c r="S716" s="5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</row>
    <row r="717">
      <c r="A717" s="31"/>
      <c r="B717" s="304"/>
      <c r="C717" s="5"/>
      <c r="D717" s="5"/>
      <c r="E717" s="4"/>
      <c r="F717" s="4"/>
      <c r="G717" s="4"/>
      <c r="H717" s="4"/>
      <c r="I717" s="5"/>
      <c r="J717" s="4"/>
      <c r="K717" s="4"/>
      <c r="L717" s="4"/>
      <c r="M717" s="4"/>
      <c r="N717" s="5"/>
      <c r="O717" s="5"/>
      <c r="P717" s="5"/>
      <c r="Q717" s="5"/>
      <c r="R717" s="5"/>
      <c r="S717" s="5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</row>
    <row r="718">
      <c r="A718" s="31"/>
      <c r="B718" s="304"/>
      <c r="C718" s="5"/>
      <c r="D718" s="5"/>
      <c r="E718" s="4"/>
      <c r="F718" s="4"/>
      <c r="G718" s="4"/>
      <c r="H718" s="4"/>
      <c r="I718" s="5"/>
      <c r="J718" s="4"/>
      <c r="K718" s="4"/>
      <c r="L718" s="4"/>
      <c r="M718" s="4"/>
      <c r="N718" s="5"/>
      <c r="O718" s="5"/>
      <c r="P718" s="5"/>
      <c r="Q718" s="5"/>
      <c r="R718" s="5"/>
      <c r="S718" s="5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</row>
    <row r="719">
      <c r="A719" s="31"/>
      <c r="B719" s="304"/>
      <c r="C719" s="5"/>
      <c r="D719" s="5"/>
      <c r="E719" s="4"/>
      <c r="F719" s="4"/>
      <c r="G719" s="4"/>
      <c r="H719" s="4"/>
      <c r="I719" s="5"/>
      <c r="J719" s="4"/>
      <c r="K719" s="4"/>
      <c r="L719" s="4"/>
      <c r="M719" s="4"/>
      <c r="N719" s="5"/>
      <c r="O719" s="5"/>
      <c r="P719" s="5"/>
      <c r="Q719" s="5"/>
      <c r="R719" s="5"/>
      <c r="S719" s="5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</row>
    <row r="720">
      <c r="A720" s="31"/>
      <c r="B720" s="304"/>
      <c r="C720" s="5"/>
      <c r="D720" s="5"/>
      <c r="E720" s="4"/>
      <c r="F720" s="4"/>
      <c r="G720" s="4"/>
      <c r="H720" s="4"/>
      <c r="I720" s="5"/>
      <c r="J720" s="4"/>
      <c r="K720" s="4"/>
      <c r="L720" s="4"/>
      <c r="M720" s="4"/>
      <c r="N720" s="5"/>
      <c r="O720" s="5"/>
      <c r="P720" s="5"/>
      <c r="Q720" s="5"/>
      <c r="R720" s="5"/>
      <c r="S720" s="5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</row>
    <row r="721">
      <c r="A721" s="31"/>
      <c r="B721" s="304"/>
      <c r="C721" s="5"/>
      <c r="D721" s="5"/>
      <c r="E721" s="4"/>
      <c r="F721" s="4"/>
      <c r="G721" s="4"/>
      <c r="H721" s="4"/>
      <c r="I721" s="5"/>
      <c r="J721" s="4"/>
      <c r="K721" s="4"/>
      <c r="L721" s="4"/>
      <c r="M721" s="4"/>
      <c r="N721" s="5"/>
      <c r="O721" s="5"/>
      <c r="P721" s="5"/>
      <c r="Q721" s="5"/>
      <c r="R721" s="5"/>
      <c r="S721" s="5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</row>
    <row r="722">
      <c r="A722" s="31"/>
      <c r="B722" s="304"/>
      <c r="C722" s="5"/>
      <c r="D722" s="5"/>
      <c r="E722" s="4"/>
      <c r="F722" s="4"/>
      <c r="G722" s="4"/>
      <c r="H722" s="4"/>
      <c r="I722" s="5"/>
      <c r="J722" s="4"/>
      <c r="K722" s="4"/>
      <c r="L722" s="4"/>
      <c r="M722" s="4"/>
      <c r="N722" s="5"/>
      <c r="O722" s="5"/>
      <c r="P722" s="5"/>
      <c r="Q722" s="5"/>
      <c r="R722" s="5"/>
      <c r="S722" s="5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</row>
    <row r="723">
      <c r="A723" s="31"/>
      <c r="B723" s="304"/>
      <c r="C723" s="5"/>
      <c r="D723" s="5"/>
      <c r="E723" s="4"/>
      <c r="F723" s="4"/>
      <c r="G723" s="4"/>
      <c r="H723" s="4"/>
      <c r="I723" s="5"/>
      <c r="J723" s="4"/>
      <c r="K723" s="4"/>
      <c r="L723" s="4"/>
      <c r="M723" s="4"/>
      <c r="N723" s="5"/>
      <c r="O723" s="5"/>
      <c r="P723" s="5"/>
      <c r="Q723" s="5"/>
      <c r="R723" s="5"/>
      <c r="S723" s="5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</row>
    <row r="724">
      <c r="A724" s="31"/>
      <c r="B724" s="304"/>
      <c r="C724" s="5"/>
      <c r="D724" s="5"/>
      <c r="E724" s="4"/>
      <c r="F724" s="4"/>
      <c r="G724" s="4"/>
      <c r="H724" s="4"/>
      <c r="I724" s="5"/>
      <c r="J724" s="4"/>
      <c r="K724" s="4"/>
      <c r="L724" s="4"/>
      <c r="M724" s="4"/>
      <c r="N724" s="5"/>
      <c r="O724" s="5"/>
      <c r="P724" s="5"/>
      <c r="Q724" s="5"/>
      <c r="R724" s="5"/>
      <c r="S724" s="5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</row>
    <row r="725">
      <c r="A725" s="31"/>
      <c r="B725" s="304"/>
      <c r="C725" s="5"/>
      <c r="D725" s="5"/>
      <c r="E725" s="4"/>
      <c r="F725" s="4"/>
      <c r="G725" s="4"/>
      <c r="H725" s="4"/>
      <c r="I725" s="5"/>
      <c r="J725" s="4"/>
      <c r="K725" s="4"/>
      <c r="L725" s="4"/>
      <c r="M725" s="4"/>
      <c r="N725" s="5"/>
      <c r="O725" s="5"/>
      <c r="P725" s="5"/>
      <c r="Q725" s="5"/>
      <c r="R725" s="5"/>
      <c r="S725" s="5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</row>
    <row r="726">
      <c r="A726" s="31"/>
      <c r="B726" s="304"/>
      <c r="C726" s="5"/>
      <c r="D726" s="5"/>
      <c r="E726" s="4"/>
      <c r="F726" s="4"/>
      <c r="G726" s="4"/>
      <c r="H726" s="4"/>
      <c r="I726" s="5"/>
      <c r="J726" s="4"/>
      <c r="K726" s="4"/>
      <c r="L726" s="4"/>
      <c r="M726" s="4"/>
      <c r="N726" s="5"/>
      <c r="O726" s="5"/>
      <c r="P726" s="5"/>
      <c r="Q726" s="5"/>
      <c r="R726" s="5"/>
      <c r="S726" s="5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</row>
    <row r="727">
      <c r="A727" s="31"/>
      <c r="B727" s="304"/>
      <c r="C727" s="5"/>
      <c r="D727" s="5"/>
      <c r="E727" s="4"/>
      <c r="F727" s="4"/>
      <c r="G727" s="4"/>
      <c r="H727" s="4"/>
      <c r="I727" s="5"/>
      <c r="J727" s="4"/>
      <c r="K727" s="4"/>
      <c r="L727" s="4"/>
      <c r="M727" s="4"/>
      <c r="N727" s="5"/>
      <c r="O727" s="5"/>
      <c r="P727" s="5"/>
      <c r="Q727" s="5"/>
      <c r="R727" s="5"/>
      <c r="S727" s="5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</row>
    <row r="728">
      <c r="A728" s="31"/>
      <c r="B728" s="304"/>
      <c r="C728" s="5"/>
      <c r="D728" s="5"/>
      <c r="E728" s="4"/>
      <c r="F728" s="4"/>
      <c r="G728" s="4"/>
      <c r="H728" s="4"/>
      <c r="I728" s="5"/>
      <c r="J728" s="4"/>
      <c r="K728" s="4"/>
      <c r="L728" s="4"/>
      <c r="M728" s="4"/>
      <c r="N728" s="5"/>
      <c r="O728" s="5"/>
      <c r="P728" s="5"/>
      <c r="Q728" s="5"/>
      <c r="R728" s="5"/>
      <c r="S728" s="5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</row>
    <row r="729">
      <c r="A729" s="31"/>
      <c r="B729" s="304"/>
      <c r="C729" s="5"/>
      <c r="D729" s="5"/>
      <c r="E729" s="4"/>
      <c r="F729" s="4"/>
      <c r="G729" s="4"/>
      <c r="H729" s="4"/>
      <c r="I729" s="5"/>
      <c r="J729" s="4"/>
      <c r="K729" s="4"/>
      <c r="L729" s="4"/>
      <c r="M729" s="4"/>
      <c r="N729" s="5"/>
      <c r="O729" s="5"/>
      <c r="P729" s="5"/>
      <c r="Q729" s="5"/>
      <c r="R729" s="5"/>
      <c r="S729" s="5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</row>
    <row r="730">
      <c r="A730" s="31"/>
      <c r="B730" s="304"/>
      <c r="C730" s="5"/>
      <c r="D730" s="5"/>
      <c r="E730" s="4"/>
      <c r="F730" s="4"/>
      <c r="G730" s="4"/>
      <c r="H730" s="4"/>
      <c r="I730" s="5"/>
      <c r="J730" s="4"/>
      <c r="K730" s="4"/>
      <c r="L730" s="4"/>
      <c r="M730" s="4"/>
      <c r="N730" s="5"/>
      <c r="O730" s="5"/>
      <c r="P730" s="5"/>
      <c r="Q730" s="5"/>
      <c r="R730" s="5"/>
      <c r="S730" s="5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</row>
    <row r="731">
      <c r="A731" s="31"/>
      <c r="B731" s="304"/>
      <c r="C731" s="5"/>
      <c r="D731" s="5"/>
      <c r="E731" s="4"/>
      <c r="F731" s="4"/>
      <c r="G731" s="4"/>
      <c r="H731" s="4"/>
      <c r="I731" s="5"/>
      <c r="J731" s="4"/>
      <c r="K731" s="4"/>
      <c r="L731" s="4"/>
      <c r="M731" s="4"/>
      <c r="N731" s="5"/>
      <c r="O731" s="5"/>
      <c r="P731" s="5"/>
      <c r="Q731" s="5"/>
      <c r="R731" s="5"/>
      <c r="S731" s="5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</row>
    <row r="732">
      <c r="A732" s="31"/>
      <c r="B732" s="304"/>
      <c r="C732" s="5"/>
      <c r="D732" s="5"/>
      <c r="E732" s="4"/>
      <c r="F732" s="4"/>
      <c r="G732" s="4"/>
      <c r="H732" s="4"/>
      <c r="I732" s="5"/>
      <c r="J732" s="4"/>
      <c r="K732" s="4"/>
      <c r="L732" s="4"/>
      <c r="M732" s="4"/>
      <c r="N732" s="5"/>
      <c r="O732" s="5"/>
      <c r="P732" s="5"/>
      <c r="Q732" s="5"/>
      <c r="R732" s="5"/>
      <c r="S732" s="5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</row>
    <row r="733">
      <c r="A733" s="31"/>
      <c r="B733" s="304"/>
      <c r="C733" s="5"/>
      <c r="D733" s="5"/>
      <c r="E733" s="4"/>
      <c r="F733" s="4"/>
      <c r="G733" s="4"/>
      <c r="H733" s="4"/>
      <c r="I733" s="5"/>
      <c r="J733" s="4"/>
      <c r="K733" s="4"/>
      <c r="L733" s="4"/>
      <c r="M733" s="4"/>
      <c r="N733" s="5"/>
      <c r="O733" s="5"/>
      <c r="P733" s="5"/>
      <c r="Q733" s="5"/>
      <c r="R733" s="5"/>
      <c r="S733" s="5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</row>
    <row r="734">
      <c r="A734" s="31"/>
      <c r="B734" s="304"/>
      <c r="C734" s="5"/>
      <c r="D734" s="5"/>
      <c r="E734" s="4"/>
      <c r="F734" s="4"/>
      <c r="G734" s="4"/>
      <c r="H734" s="4"/>
      <c r="I734" s="5"/>
      <c r="J734" s="4"/>
      <c r="K734" s="4"/>
      <c r="L734" s="4"/>
      <c r="M734" s="4"/>
      <c r="N734" s="5"/>
      <c r="O734" s="5"/>
      <c r="P734" s="5"/>
      <c r="Q734" s="5"/>
      <c r="R734" s="5"/>
      <c r="S734" s="5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</row>
    <row r="735">
      <c r="A735" s="31"/>
      <c r="B735" s="304"/>
      <c r="C735" s="5"/>
      <c r="D735" s="5"/>
      <c r="E735" s="4"/>
      <c r="F735" s="4"/>
      <c r="G735" s="4"/>
      <c r="H735" s="4"/>
      <c r="I735" s="5"/>
      <c r="J735" s="4"/>
      <c r="K735" s="4"/>
      <c r="L735" s="4"/>
      <c r="M735" s="4"/>
      <c r="N735" s="5"/>
      <c r="O735" s="5"/>
      <c r="P735" s="5"/>
      <c r="Q735" s="5"/>
      <c r="R735" s="5"/>
      <c r="S735" s="5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</row>
    <row r="736">
      <c r="A736" s="31"/>
      <c r="B736" s="304"/>
      <c r="C736" s="5"/>
      <c r="D736" s="5"/>
      <c r="E736" s="4"/>
      <c r="F736" s="4"/>
      <c r="G736" s="4"/>
      <c r="H736" s="4"/>
      <c r="I736" s="5"/>
      <c r="J736" s="4"/>
      <c r="K736" s="4"/>
      <c r="L736" s="4"/>
      <c r="M736" s="4"/>
      <c r="N736" s="5"/>
      <c r="O736" s="5"/>
      <c r="P736" s="5"/>
      <c r="Q736" s="5"/>
      <c r="R736" s="5"/>
      <c r="S736" s="5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</row>
    <row r="737">
      <c r="A737" s="31"/>
      <c r="B737" s="304"/>
      <c r="C737" s="5"/>
      <c r="D737" s="5"/>
      <c r="E737" s="4"/>
      <c r="F737" s="4"/>
      <c r="G737" s="4"/>
      <c r="H737" s="4"/>
      <c r="I737" s="5"/>
      <c r="J737" s="4"/>
      <c r="K737" s="4"/>
      <c r="L737" s="4"/>
      <c r="M737" s="4"/>
      <c r="N737" s="5"/>
      <c r="O737" s="5"/>
      <c r="P737" s="5"/>
      <c r="Q737" s="5"/>
      <c r="R737" s="5"/>
      <c r="S737" s="5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</row>
    <row r="738">
      <c r="A738" s="31"/>
      <c r="B738" s="304"/>
      <c r="C738" s="5"/>
      <c r="D738" s="5"/>
      <c r="E738" s="4"/>
      <c r="F738" s="4"/>
      <c r="G738" s="4"/>
      <c r="H738" s="4"/>
      <c r="I738" s="5"/>
      <c r="J738" s="4"/>
      <c r="K738" s="4"/>
      <c r="L738" s="4"/>
      <c r="M738" s="4"/>
      <c r="N738" s="5"/>
      <c r="O738" s="5"/>
      <c r="P738" s="5"/>
      <c r="Q738" s="5"/>
      <c r="R738" s="5"/>
      <c r="S738" s="5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</row>
    <row r="739">
      <c r="A739" s="31"/>
      <c r="B739" s="304"/>
      <c r="C739" s="5"/>
      <c r="D739" s="5"/>
      <c r="E739" s="4"/>
      <c r="F739" s="4"/>
      <c r="G739" s="4"/>
      <c r="H739" s="4"/>
      <c r="I739" s="5"/>
      <c r="J739" s="4"/>
      <c r="K739" s="4"/>
      <c r="L739" s="4"/>
      <c r="M739" s="4"/>
      <c r="N739" s="5"/>
      <c r="O739" s="5"/>
      <c r="P739" s="5"/>
      <c r="Q739" s="5"/>
      <c r="R739" s="5"/>
      <c r="S739" s="5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</row>
    <row r="740">
      <c r="A740" s="31"/>
      <c r="B740" s="304"/>
      <c r="C740" s="5"/>
      <c r="D740" s="5"/>
      <c r="E740" s="4"/>
      <c r="F740" s="4"/>
      <c r="G740" s="4"/>
      <c r="H740" s="4"/>
      <c r="I740" s="5"/>
      <c r="J740" s="4"/>
      <c r="K740" s="4"/>
      <c r="L740" s="4"/>
      <c r="M740" s="4"/>
      <c r="N740" s="5"/>
      <c r="O740" s="5"/>
      <c r="P740" s="5"/>
      <c r="Q740" s="5"/>
      <c r="R740" s="5"/>
      <c r="S740" s="5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</row>
    <row r="741">
      <c r="A741" s="31"/>
      <c r="B741" s="304"/>
      <c r="C741" s="5"/>
      <c r="D741" s="5"/>
      <c r="E741" s="4"/>
      <c r="F741" s="4"/>
      <c r="G741" s="4"/>
      <c r="H741" s="4"/>
      <c r="I741" s="5"/>
      <c r="J741" s="4"/>
      <c r="K741" s="4"/>
      <c r="L741" s="4"/>
      <c r="M741" s="4"/>
      <c r="N741" s="5"/>
      <c r="O741" s="5"/>
      <c r="P741" s="5"/>
      <c r="Q741" s="5"/>
      <c r="R741" s="5"/>
      <c r="S741" s="5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</row>
    <row r="742">
      <c r="A742" s="31"/>
      <c r="B742" s="304"/>
      <c r="C742" s="5"/>
      <c r="D742" s="5"/>
      <c r="E742" s="4"/>
      <c r="F742" s="4"/>
      <c r="G742" s="4"/>
      <c r="H742" s="4"/>
      <c r="I742" s="5"/>
      <c r="J742" s="4"/>
      <c r="K742" s="4"/>
      <c r="L742" s="4"/>
      <c r="M742" s="4"/>
      <c r="N742" s="5"/>
      <c r="O742" s="5"/>
      <c r="P742" s="5"/>
      <c r="Q742" s="5"/>
      <c r="R742" s="5"/>
      <c r="S742" s="5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</row>
    <row r="743">
      <c r="A743" s="31"/>
      <c r="B743" s="304"/>
      <c r="C743" s="5"/>
      <c r="D743" s="5"/>
      <c r="E743" s="4"/>
      <c r="F743" s="4"/>
      <c r="G743" s="4"/>
      <c r="H743" s="4"/>
      <c r="I743" s="5"/>
      <c r="J743" s="4"/>
      <c r="K743" s="4"/>
      <c r="L743" s="4"/>
      <c r="M743" s="4"/>
      <c r="N743" s="5"/>
      <c r="O743" s="5"/>
      <c r="P743" s="5"/>
      <c r="Q743" s="5"/>
      <c r="R743" s="5"/>
      <c r="S743" s="5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</row>
    <row r="744">
      <c r="A744" s="31"/>
      <c r="B744" s="304"/>
      <c r="C744" s="5"/>
      <c r="D744" s="5"/>
      <c r="E744" s="4"/>
      <c r="F744" s="4"/>
      <c r="G744" s="4"/>
      <c r="H744" s="4"/>
      <c r="I744" s="5"/>
      <c r="J744" s="4"/>
      <c r="K744" s="4"/>
      <c r="L744" s="4"/>
      <c r="M744" s="4"/>
      <c r="N744" s="5"/>
      <c r="O744" s="5"/>
      <c r="P744" s="5"/>
      <c r="Q744" s="5"/>
      <c r="R744" s="5"/>
      <c r="S744" s="5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</row>
    <row r="745">
      <c r="A745" s="31"/>
      <c r="B745" s="304"/>
      <c r="C745" s="5"/>
      <c r="D745" s="5"/>
      <c r="E745" s="4"/>
      <c r="F745" s="4"/>
      <c r="G745" s="4"/>
      <c r="H745" s="4"/>
      <c r="I745" s="5"/>
      <c r="J745" s="4"/>
      <c r="K745" s="4"/>
      <c r="L745" s="4"/>
      <c r="M745" s="4"/>
      <c r="N745" s="5"/>
      <c r="O745" s="5"/>
      <c r="P745" s="5"/>
      <c r="Q745" s="5"/>
      <c r="R745" s="5"/>
      <c r="S745" s="5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</row>
    <row r="746">
      <c r="A746" s="31"/>
      <c r="B746" s="304"/>
      <c r="C746" s="5"/>
      <c r="D746" s="5"/>
      <c r="E746" s="4"/>
      <c r="F746" s="4"/>
      <c r="G746" s="4"/>
      <c r="H746" s="4"/>
      <c r="I746" s="5"/>
      <c r="J746" s="4"/>
      <c r="K746" s="4"/>
      <c r="L746" s="4"/>
      <c r="M746" s="4"/>
      <c r="N746" s="5"/>
      <c r="O746" s="5"/>
      <c r="P746" s="5"/>
      <c r="Q746" s="5"/>
      <c r="R746" s="5"/>
      <c r="S746" s="5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</row>
    <row r="747">
      <c r="A747" s="31"/>
      <c r="B747" s="304"/>
      <c r="C747" s="5"/>
      <c r="D747" s="5"/>
      <c r="E747" s="4"/>
      <c r="F747" s="4"/>
      <c r="G747" s="4"/>
      <c r="H747" s="4"/>
      <c r="I747" s="5"/>
      <c r="J747" s="4"/>
      <c r="K747" s="4"/>
      <c r="L747" s="4"/>
      <c r="M747" s="4"/>
      <c r="N747" s="5"/>
      <c r="O747" s="5"/>
      <c r="P747" s="5"/>
      <c r="Q747" s="5"/>
      <c r="R747" s="5"/>
      <c r="S747" s="5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</row>
    <row r="748">
      <c r="A748" s="31"/>
      <c r="B748" s="304"/>
      <c r="C748" s="5"/>
      <c r="D748" s="5"/>
      <c r="E748" s="4"/>
      <c r="F748" s="4"/>
      <c r="G748" s="4"/>
      <c r="H748" s="4"/>
      <c r="I748" s="5"/>
      <c r="J748" s="4"/>
      <c r="K748" s="4"/>
      <c r="L748" s="4"/>
      <c r="M748" s="4"/>
      <c r="N748" s="5"/>
      <c r="O748" s="5"/>
      <c r="P748" s="5"/>
      <c r="Q748" s="5"/>
      <c r="R748" s="5"/>
      <c r="S748" s="5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</row>
    <row r="749">
      <c r="A749" s="31"/>
      <c r="B749" s="304"/>
      <c r="C749" s="5"/>
      <c r="D749" s="5"/>
      <c r="E749" s="4"/>
      <c r="F749" s="4"/>
      <c r="G749" s="4"/>
      <c r="H749" s="4"/>
      <c r="I749" s="5"/>
      <c r="J749" s="4"/>
      <c r="K749" s="4"/>
      <c r="L749" s="4"/>
      <c r="M749" s="4"/>
      <c r="N749" s="5"/>
      <c r="O749" s="5"/>
      <c r="P749" s="5"/>
      <c r="Q749" s="5"/>
      <c r="R749" s="5"/>
      <c r="S749" s="5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</row>
    <row r="750">
      <c r="A750" s="31"/>
      <c r="B750" s="304"/>
      <c r="C750" s="5"/>
      <c r="D750" s="5"/>
      <c r="E750" s="4"/>
      <c r="F750" s="4"/>
      <c r="G750" s="4"/>
      <c r="H750" s="4"/>
      <c r="I750" s="5"/>
      <c r="J750" s="4"/>
      <c r="K750" s="4"/>
      <c r="L750" s="4"/>
      <c r="M750" s="4"/>
      <c r="N750" s="5"/>
      <c r="O750" s="5"/>
      <c r="P750" s="5"/>
      <c r="Q750" s="5"/>
      <c r="R750" s="5"/>
      <c r="S750" s="5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</row>
    <row r="751">
      <c r="A751" s="31"/>
      <c r="B751" s="304"/>
      <c r="C751" s="5"/>
      <c r="D751" s="5"/>
      <c r="E751" s="4"/>
      <c r="F751" s="4"/>
      <c r="G751" s="4"/>
      <c r="H751" s="4"/>
      <c r="I751" s="5"/>
      <c r="J751" s="4"/>
      <c r="K751" s="4"/>
      <c r="L751" s="4"/>
      <c r="M751" s="4"/>
      <c r="N751" s="5"/>
      <c r="O751" s="5"/>
      <c r="P751" s="5"/>
      <c r="Q751" s="5"/>
      <c r="R751" s="5"/>
      <c r="S751" s="5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</row>
    <row r="752">
      <c r="A752" s="31"/>
      <c r="B752" s="304"/>
      <c r="C752" s="5"/>
      <c r="D752" s="5"/>
      <c r="E752" s="4"/>
      <c r="F752" s="4"/>
      <c r="G752" s="4"/>
      <c r="H752" s="4"/>
      <c r="I752" s="5"/>
      <c r="J752" s="4"/>
      <c r="K752" s="4"/>
      <c r="L752" s="4"/>
      <c r="M752" s="4"/>
      <c r="N752" s="5"/>
      <c r="O752" s="5"/>
      <c r="P752" s="5"/>
      <c r="Q752" s="5"/>
      <c r="R752" s="5"/>
      <c r="S752" s="5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</row>
    <row r="753">
      <c r="A753" s="31"/>
      <c r="B753" s="304"/>
      <c r="C753" s="5"/>
      <c r="D753" s="5"/>
      <c r="E753" s="4"/>
      <c r="F753" s="4"/>
      <c r="G753" s="4"/>
      <c r="H753" s="4"/>
      <c r="I753" s="5"/>
      <c r="J753" s="4"/>
      <c r="K753" s="4"/>
      <c r="L753" s="4"/>
      <c r="M753" s="4"/>
      <c r="N753" s="5"/>
      <c r="O753" s="5"/>
      <c r="P753" s="5"/>
      <c r="Q753" s="5"/>
      <c r="R753" s="5"/>
      <c r="S753" s="5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</row>
    <row r="754">
      <c r="A754" s="31"/>
      <c r="B754" s="304"/>
      <c r="C754" s="5"/>
      <c r="D754" s="5"/>
      <c r="E754" s="4"/>
      <c r="F754" s="4"/>
      <c r="G754" s="4"/>
      <c r="H754" s="4"/>
      <c r="I754" s="5"/>
      <c r="J754" s="4"/>
      <c r="K754" s="4"/>
      <c r="L754" s="4"/>
      <c r="M754" s="4"/>
      <c r="N754" s="5"/>
      <c r="O754" s="5"/>
      <c r="P754" s="5"/>
      <c r="Q754" s="5"/>
      <c r="R754" s="5"/>
      <c r="S754" s="5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</row>
    <row r="755">
      <c r="A755" s="31"/>
      <c r="B755" s="304"/>
      <c r="C755" s="5"/>
      <c r="D755" s="5"/>
      <c r="E755" s="4"/>
      <c r="F755" s="4"/>
      <c r="G755" s="4"/>
      <c r="H755" s="4"/>
      <c r="I755" s="5"/>
      <c r="J755" s="4"/>
      <c r="K755" s="4"/>
      <c r="L755" s="4"/>
      <c r="M755" s="4"/>
      <c r="N755" s="5"/>
      <c r="O755" s="5"/>
      <c r="P755" s="5"/>
      <c r="Q755" s="5"/>
      <c r="R755" s="5"/>
      <c r="S755" s="5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</row>
    <row r="756">
      <c r="A756" s="31"/>
      <c r="B756" s="304"/>
      <c r="C756" s="5"/>
      <c r="D756" s="5"/>
      <c r="E756" s="4"/>
      <c r="F756" s="4"/>
      <c r="G756" s="4"/>
      <c r="H756" s="4"/>
      <c r="I756" s="5"/>
      <c r="J756" s="4"/>
      <c r="K756" s="4"/>
      <c r="L756" s="4"/>
      <c r="M756" s="4"/>
      <c r="N756" s="5"/>
      <c r="O756" s="5"/>
      <c r="P756" s="5"/>
      <c r="Q756" s="5"/>
      <c r="R756" s="5"/>
      <c r="S756" s="5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</row>
    <row r="757">
      <c r="A757" s="31"/>
      <c r="B757" s="304"/>
      <c r="C757" s="5"/>
      <c r="D757" s="5"/>
      <c r="E757" s="4"/>
      <c r="F757" s="4"/>
      <c r="G757" s="4"/>
      <c r="H757" s="4"/>
      <c r="I757" s="5"/>
      <c r="J757" s="4"/>
      <c r="K757" s="4"/>
      <c r="L757" s="4"/>
      <c r="M757" s="4"/>
      <c r="N757" s="5"/>
      <c r="O757" s="5"/>
      <c r="P757" s="5"/>
      <c r="Q757" s="5"/>
      <c r="R757" s="5"/>
      <c r="S757" s="5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</row>
    <row r="758">
      <c r="A758" s="31"/>
      <c r="B758" s="304"/>
      <c r="C758" s="5"/>
      <c r="D758" s="5"/>
      <c r="E758" s="4"/>
      <c r="F758" s="4"/>
      <c r="G758" s="4"/>
      <c r="H758" s="4"/>
      <c r="I758" s="5"/>
      <c r="J758" s="4"/>
      <c r="K758" s="4"/>
      <c r="L758" s="4"/>
      <c r="M758" s="4"/>
      <c r="N758" s="5"/>
      <c r="O758" s="5"/>
      <c r="P758" s="5"/>
      <c r="Q758" s="5"/>
      <c r="R758" s="5"/>
      <c r="S758" s="5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</row>
    <row r="759">
      <c r="A759" s="31"/>
      <c r="B759" s="304"/>
      <c r="C759" s="5"/>
      <c r="D759" s="5"/>
      <c r="E759" s="4"/>
      <c r="F759" s="4"/>
      <c r="G759" s="4"/>
      <c r="H759" s="4"/>
      <c r="I759" s="5"/>
      <c r="J759" s="4"/>
      <c r="K759" s="4"/>
      <c r="L759" s="4"/>
      <c r="M759" s="4"/>
      <c r="N759" s="5"/>
      <c r="O759" s="5"/>
      <c r="P759" s="5"/>
      <c r="Q759" s="5"/>
      <c r="R759" s="5"/>
      <c r="S759" s="5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</row>
    <row r="760">
      <c r="A760" s="31"/>
      <c r="B760" s="304"/>
      <c r="C760" s="5"/>
      <c r="D760" s="5"/>
      <c r="E760" s="4"/>
      <c r="F760" s="4"/>
      <c r="G760" s="4"/>
      <c r="H760" s="4"/>
      <c r="I760" s="5"/>
      <c r="J760" s="4"/>
      <c r="K760" s="4"/>
      <c r="L760" s="4"/>
      <c r="M760" s="4"/>
      <c r="N760" s="5"/>
      <c r="O760" s="5"/>
      <c r="P760" s="5"/>
      <c r="Q760" s="5"/>
      <c r="R760" s="5"/>
      <c r="S760" s="5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</row>
    <row r="761">
      <c r="A761" s="31"/>
      <c r="B761" s="304"/>
      <c r="C761" s="5"/>
      <c r="D761" s="5"/>
      <c r="E761" s="4"/>
      <c r="F761" s="4"/>
      <c r="G761" s="4"/>
      <c r="H761" s="4"/>
      <c r="I761" s="5"/>
      <c r="J761" s="4"/>
      <c r="K761" s="4"/>
      <c r="L761" s="4"/>
      <c r="M761" s="4"/>
      <c r="N761" s="5"/>
      <c r="O761" s="5"/>
      <c r="P761" s="5"/>
      <c r="Q761" s="5"/>
      <c r="R761" s="5"/>
      <c r="S761" s="5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</row>
    <row r="762">
      <c r="A762" s="31"/>
      <c r="B762" s="304"/>
      <c r="C762" s="5"/>
      <c r="D762" s="5"/>
      <c r="E762" s="4"/>
      <c r="F762" s="4"/>
      <c r="G762" s="4"/>
      <c r="H762" s="4"/>
      <c r="I762" s="5"/>
      <c r="J762" s="4"/>
      <c r="K762" s="4"/>
      <c r="L762" s="4"/>
      <c r="M762" s="4"/>
      <c r="N762" s="5"/>
      <c r="O762" s="5"/>
      <c r="P762" s="5"/>
      <c r="Q762" s="5"/>
      <c r="R762" s="5"/>
      <c r="S762" s="5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</row>
    <row r="763">
      <c r="A763" s="31"/>
      <c r="B763" s="304"/>
      <c r="C763" s="5"/>
      <c r="D763" s="5"/>
      <c r="E763" s="4"/>
      <c r="F763" s="4"/>
      <c r="G763" s="4"/>
      <c r="H763" s="4"/>
      <c r="I763" s="5"/>
      <c r="J763" s="4"/>
      <c r="K763" s="4"/>
      <c r="L763" s="4"/>
      <c r="M763" s="4"/>
      <c r="N763" s="5"/>
      <c r="O763" s="5"/>
      <c r="P763" s="5"/>
      <c r="Q763" s="5"/>
      <c r="R763" s="5"/>
      <c r="S763" s="5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</row>
    <row r="764">
      <c r="A764" s="31"/>
      <c r="B764" s="304"/>
      <c r="C764" s="5"/>
      <c r="D764" s="5"/>
      <c r="E764" s="4"/>
      <c r="F764" s="4"/>
      <c r="G764" s="4"/>
      <c r="H764" s="4"/>
      <c r="I764" s="5"/>
      <c r="J764" s="4"/>
      <c r="K764" s="4"/>
      <c r="L764" s="4"/>
      <c r="M764" s="4"/>
      <c r="N764" s="5"/>
      <c r="O764" s="5"/>
      <c r="P764" s="5"/>
      <c r="Q764" s="5"/>
      <c r="R764" s="5"/>
      <c r="S764" s="5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</row>
    <row r="765">
      <c r="A765" s="31"/>
      <c r="B765" s="304"/>
      <c r="C765" s="5"/>
      <c r="D765" s="5"/>
      <c r="E765" s="4"/>
      <c r="F765" s="4"/>
      <c r="G765" s="4"/>
      <c r="H765" s="4"/>
      <c r="I765" s="5"/>
      <c r="J765" s="4"/>
      <c r="K765" s="4"/>
      <c r="L765" s="4"/>
      <c r="M765" s="4"/>
      <c r="N765" s="5"/>
      <c r="O765" s="5"/>
      <c r="P765" s="5"/>
      <c r="Q765" s="5"/>
      <c r="R765" s="5"/>
      <c r="S765" s="5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</row>
    <row r="766">
      <c r="A766" s="31"/>
      <c r="B766" s="304"/>
      <c r="C766" s="5"/>
      <c r="D766" s="5"/>
      <c r="E766" s="4"/>
      <c r="F766" s="4"/>
      <c r="G766" s="4"/>
      <c r="H766" s="4"/>
      <c r="I766" s="5"/>
      <c r="J766" s="4"/>
      <c r="K766" s="4"/>
      <c r="L766" s="4"/>
      <c r="M766" s="4"/>
      <c r="N766" s="5"/>
      <c r="O766" s="5"/>
      <c r="P766" s="5"/>
      <c r="Q766" s="5"/>
      <c r="R766" s="5"/>
      <c r="S766" s="5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</row>
    <row r="767">
      <c r="A767" s="31"/>
      <c r="B767" s="304"/>
      <c r="C767" s="5"/>
      <c r="D767" s="5"/>
      <c r="E767" s="4"/>
      <c r="F767" s="4"/>
      <c r="G767" s="4"/>
      <c r="H767" s="4"/>
      <c r="I767" s="5"/>
      <c r="J767" s="4"/>
      <c r="K767" s="4"/>
      <c r="L767" s="4"/>
      <c r="M767" s="4"/>
      <c r="N767" s="5"/>
      <c r="O767" s="5"/>
      <c r="P767" s="5"/>
      <c r="Q767" s="5"/>
      <c r="R767" s="5"/>
      <c r="S767" s="5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</row>
    <row r="768">
      <c r="A768" s="31"/>
      <c r="B768" s="304"/>
      <c r="C768" s="5"/>
      <c r="D768" s="5"/>
      <c r="E768" s="4"/>
      <c r="F768" s="4"/>
      <c r="G768" s="4"/>
      <c r="H768" s="4"/>
      <c r="I768" s="5"/>
      <c r="J768" s="4"/>
      <c r="K768" s="4"/>
      <c r="L768" s="4"/>
      <c r="M768" s="4"/>
      <c r="N768" s="5"/>
      <c r="O768" s="5"/>
      <c r="P768" s="5"/>
      <c r="Q768" s="5"/>
      <c r="R768" s="5"/>
      <c r="S768" s="5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</row>
    <row r="769">
      <c r="A769" s="31"/>
      <c r="B769" s="304"/>
      <c r="C769" s="5"/>
      <c r="D769" s="5"/>
      <c r="E769" s="4"/>
      <c r="F769" s="4"/>
      <c r="G769" s="4"/>
      <c r="H769" s="4"/>
      <c r="I769" s="5"/>
      <c r="J769" s="4"/>
      <c r="K769" s="4"/>
      <c r="L769" s="4"/>
      <c r="M769" s="4"/>
      <c r="N769" s="5"/>
      <c r="O769" s="5"/>
      <c r="P769" s="5"/>
      <c r="Q769" s="5"/>
      <c r="R769" s="5"/>
      <c r="S769" s="5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</row>
    <row r="770">
      <c r="A770" s="31"/>
      <c r="B770" s="304"/>
      <c r="C770" s="5"/>
      <c r="D770" s="5"/>
      <c r="E770" s="4"/>
      <c r="F770" s="4"/>
      <c r="G770" s="4"/>
      <c r="H770" s="4"/>
      <c r="I770" s="5"/>
      <c r="J770" s="4"/>
      <c r="K770" s="4"/>
      <c r="L770" s="4"/>
      <c r="M770" s="4"/>
      <c r="N770" s="5"/>
      <c r="O770" s="5"/>
      <c r="P770" s="5"/>
      <c r="Q770" s="5"/>
      <c r="R770" s="5"/>
      <c r="S770" s="5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</row>
    <row r="771">
      <c r="A771" s="31"/>
      <c r="B771" s="304"/>
      <c r="C771" s="5"/>
      <c r="D771" s="5"/>
      <c r="E771" s="4"/>
      <c r="F771" s="4"/>
      <c r="G771" s="4"/>
      <c r="H771" s="4"/>
      <c r="I771" s="5"/>
      <c r="J771" s="4"/>
      <c r="K771" s="4"/>
      <c r="L771" s="4"/>
      <c r="M771" s="4"/>
      <c r="N771" s="5"/>
      <c r="O771" s="5"/>
      <c r="P771" s="5"/>
      <c r="Q771" s="5"/>
      <c r="R771" s="5"/>
      <c r="S771" s="5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</row>
    <row r="772">
      <c r="A772" s="31"/>
      <c r="B772" s="304"/>
      <c r="C772" s="5"/>
      <c r="D772" s="5"/>
      <c r="E772" s="4"/>
      <c r="F772" s="4"/>
      <c r="G772" s="4"/>
      <c r="H772" s="4"/>
      <c r="I772" s="5"/>
      <c r="J772" s="4"/>
      <c r="K772" s="4"/>
      <c r="L772" s="4"/>
      <c r="M772" s="4"/>
      <c r="N772" s="5"/>
      <c r="O772" s="5"/>
      <c r="P772" s="5"/>
      <c r="Q772" s="5"/>
      <c r="R772" s="5"/>
      <c r="S772" s="5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</row>
    <row r="773">
      <c r="A773" s="31"/>
      <c r="B773" s="304"/>
      <c r="C773" s="5"/>
      <c r="D773" s="5"/>
      <c r="E773" s="4"/>
      <c r="F773" s="4"/>
      <c r="G773" s="4"/>
      <c r="H773" s="4"/>
      <c r="I773" s="5"/>
      <c r="J773" s="4"/>
      <c r="K773" s="4"/>
      <c r="L773" s="4"/>
      <c r="M773" s="4"/>
      <c r="N773" s="5"/>
      <c r="O773" s="5"/>
      <c r="P773" s="5"/>
      <c r="Q773" s="5"/>
      <c r="R773" s="5"/>
      <c r="S773" s="5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</row>
    <row r="774">
      <c r="A774" s="31"/>
      <c r="B774" s="304"/>
      <c r="C774" s="5"/>
      <c r="D774" s="5"/>
      <c r="E774" s="4"/>
      <c r="F774" s="4"/>
      <c r="G774" s="4"/>
      <c r="H774" s="4"/>
      <c r="I774" s="5"/>
      <c r="J774" s="4"/>
      <c r="K774" s="4"/>
      <c r="L774" s="4"/>
      <c r="M774" s="4"/>
      <c r="N774" s="5"/>
      <c r="O774" s="5"/>
      <c r="P774" s="5"/>
      <c r="Q774" s="5"/>
      <c r="R774" s="5"/>
      <c r="S774" s="5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</row>
    <row r="775">
      <c r="A775" s="31"/>
      <c r="B775" s="304"/>
      <c r="C775" s="5"/>
      <c r="D775" s="5"/>
      <c r="E775" s="4"/>
      <c r="F775" s="4"/>
      <c r="G775" s="4"/>
      <c r="H775" s="4"/>
      <c r="I775" s="5"/>
      <c r="J775" s="4"/>
      <c r="K775" s="4"/>
      <c r="L775" s="4"/>
      <c r="M775" s="4"/>
      <c r="N775" s="5"/>
      <c r="O775" s="5"/>
      <c r="P775" s="5"/>
      <c r="Q775" s="5"/>
      <c r="R775" s="5"/>
      <c r="S775" s="5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</row>
    <row r="776">
      <c r="A776" s="31"/>
      <c r="B776" s="304"/>
      <c r="C776" s="5"/>
      <c r="D776" s="5"/>
      <c r="E776" s="4"/>
      <c r="F776" s="4"/>
      <c r="G776" s="4"/>
      <c r="H776" s="4"/>
      <c r="I776" s="5"/>
      <c r="J776" s="4"/>
      <c r="K776" s="4"/>
      <c r="L776" s="4"/>
      <c r="M776" s="4"/>
      <c r="N776" s="5"/>
      <c r="O776" s="5"/>
      <c r="P776" s="5"/>
      <c r="Q776" s="5"/>
      <c r="R776" s="5"/>
      <c r="S776" s="5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</row>
    <row r="777">
      <c r="A777" s="31"/>
      <c r="B777" s="304"/>
      <c r="C777" s="5"/>
      <c r="D777" s="5"/>
      <c r="E777" s="4"/>
      <c r="F777" s="4"/>
      <c r="G777" s="4"/>
      <c r="H777" s="4"/>
      <c r="I777" s="5"/>
      <c r="J777" s="4"/>
      <c r="K777" s="4"/>
      <c r="L777" s="4"/>
      <c r="M777" s="4"/>
      <c r="N777" s="5"/>
      <c r="O777" s="5"/>
      <c r="P777" s="5"/>
      <c r="Q777" s="5"/>
      <c r="R777" s="5"/>
      <c r="S777" s="5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</row>
    <row r="778">
      <c r="A778" s="31"/>
      <c r="B778" s="304"/>
      <c r="C778" s="5"/>
      <c r="D778" s="5"/>
      <c r="E778" s="4"/>
      <c r="F778" s="4"/>
      <c r="G778" s="4"/>
      <c r="H778" s="4"/>
      <c r="I778" s="5"/>
      <c r="J778" s="4"/>
      <c r="K778" s="4"/>
      <c r="L778" s="4"/>
      <c r="M778" s="4"/>
      <c r="N778" s="5"/>
      <c r="O778" s="5"/>
      <c r="P778" s="5"/>
      <c r="Q778" s="5"/>
      <c r="R778" s="5"/>
      <c r="S778" s="5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</row>
    <row r="779">
      <c r="A779" s="31"/>
      <c r="B779" s="304"/>
      <c r="C779" s="5"/>
      <c r="D779" s="5"/>
      <c r="E779" s="4"/>
      <c r="F779" s="4"/>
      <c r="G779" s="4"/>
      <c r="H779" s="4"/>
      <c r="I779" s="5"/>
      <c r="J779" s="4"/>
      <c r="K779" s="4"/>
      <c r="L779" s="4"/>
      <c r="M779" s="4"/>
      <c r="N779" s="5"/>
      <c r="O779" s="5"/>
      <c r="P779" s="5"/>
      <c r="Q779" s="5"/>
      <c r="R779" s="5"/>
      <c r="S779" s="5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</row>
    <row r="780">
      <c r="A780" s="31"/>
      <c r="B780" s="304"/>
      <c r="C780" s="5"/>
      <c r="D780" s="5"/>
      <c r="E780" s="4"/>
      <c r="F780" s="4"/>
      <c r="G780" s="4"/>
      <c r="H780" s="4"/>
      <c r="I780" s="5"/>
      <c r="J780" s="4"/>
      <c r="K780" s="4"/>
      <c r="L780" s="4"/>
      <c r="M780" s="4"/>
      <c r="N780" s="5"/>
      <c r="O780" s="5"/>
      <c r="P780" s="5"/>
      <c r="Q780" s="5"/>
      <c r="R780" s="5"/>
      <c r="S780" s="5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</row>
    <row r="781">
      <c r="A781" s="31"/>
      <c r="B781" s="304"/>
      <c r="C781" s="5"/>
      <c r="D781" s="5"/>
      <c r="E781" s="4"/>
      <c r="F781" s="4"/>
      <c r="G781" s="4"/>
      <c r="H781" s="4"/>
      <c r="I781" s="5"/>
      <c r="J781" s="4"/>
      <c r="K781" s="4"/>
      <c r="L781" s="4"/>
      <c r="M781" s="4"/>
      <c r="N781" s="5"/>
      <c r="O781" s="5"/>
      <c r="P781" s="5"/>
      <c r="Q781" s="5"/>
      <c r="R781" s="5"/>
      <c r="S781" s="5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</row>
    <row r="782">
      <c r="A782" s="31"/>
      <c r="B782" s="304"/>
      <c r="C782" s="5"/>
      <c r="D782" s="5"/>
      <c r="E782" s="4"/>
      <c r="F782" s="4"/>
      <c r="G782" s="4"/>
      <c r="H782" s="4"/>
      <c r="I782" s="5"/>
      <c r="J782" s="4"/>
      <c r="K782" s="4"/>
      <c r="L782" s="4"/>
      <c r="M782" s="4"/>
      <c r="N782" s="5"/>
      <c r="O782" s="5"/>
      <c r="P782" s="5"/>
      <c r="Q782" s="5"/>
      <c r="R782" s="5"/>
      <c r="S782" s="5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</row>
    <row r="783">
      <c r="A783" s="31"/>
      <c r="B783" s="304"/>
      <c r="C783" s="5"/>
      <c r="D783" s="5"/>
      <c r="E783" s="4"/>
      <c r="F783" s="4"/>
      <c r="G783" s="4"/>
      <c r="H783" s="4"/>
      <c r="I783" s="5"/>
      <c r="J783" s="4"/>
      <c r="K783" s="4"/>
      <c r="L783" s="4"/>
      <c r="M783" s="4"/>
      <c r="N783" s="5"/>
      <c r="O783" s="5"/>
      <c r="P783" s="5"/>
      <c r="Q783" s="5"/>
      <c r="R783" s="5"/>
      <c r="S783" s="5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</row>
    <row r="784">
      <c r="A784" s="31"/>
      <c r="B784" s="304"/>
      <c r="C784" s="5"/>
      <c r="D784" s="5"/>
      <c r="E784" s="4"/>
      <c r="F784" s="4"/>
      <c r="G784" s="4"/>
      <c r="H784" s="4"/>
      <c r="I784" s="5"/>
      <c r="J784" s="4"/>
      <c r="K784" s="4"/>
      <c r="L784" s="4"/>
      <c r="M784" s="4"/>
      <c r="N784" s="5"/>
      <c r="O784" s="5"/>
      <c r="P784" s="5"/>
      <c r="Q784" s="5"/>
      <c r="R784" s="5"/>
      <c r="S784" s="5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</row>
    <row r="785">
      <c r="A785" s="31"/>
      <c r="B785" s="304"/>
      <c r="C785" s="5"/>
      <c r="D785" s="5"/>
      <c r="E785" s="4"/>
      <c r="F785" s="4"/>
      <c r="G785" s="4"/>
      <c r="H785" s="4"/>
      <c r="I785" s="5"/>
      <c r="J785" s="4"/>
      <c r="K785" s="4"/>
      <c r="L785" s="4"/>
      <c r="M785" s="4"/>
      <c r="N785" s="5"/>
      <c r="O785" s="5"/>
      <c r="P785" s="5"/>
      <c r="Q785" s="5"/>
      <c r="R785" s="5"/>
      <c r="S785" s="5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</row>
    <row r="786">
      <c r="A786" s="31"/>
      <c r="B786" s="304"/>
      <c r="C786" s="5"/>
      <c r="D786" s="5"/>
      <c r="E786" s="4"/>
      <c r="F786" s="4"/>
      <c r="G786" s="4"/>
      <c r="H786" s="4"/>
      <c r="I786" s="5"/>
      <c r="J786" s="4"/>
      <c r="K786" s="4"/>
      <c r="L786" s="4"/>
      <c r="M786" s="4"/>
      <c r="N786" s="5"/>
      <c r="O786" s="5"/>
      <c r="P786" s="5"/>
      <c r="Q786" s="5"/>
      <c r="R786" s="5"/>
      <c r="S786" s="5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</row>
    <row r="787">
      <c r="A787" s="31"/>
      <c r="B787" s="304"/>
      <c r="C787" s="5"/>
      <c r="D787" s="5"/>
      <c r="E787" s="4"/>
      <c r="F787" s="4"/>
      <c r="G787" s="4"/>
      <c r="H787" s="4"/>
      <c r="I787" s="5"/>
      <c r="J787" s="4"/>
      <c r="K787" s="4"/>
      <c r="L787" s="4"/>
      <c r="M787" s="4"/>
      <c r="N787" s="5"/>
      <c r="O787" s="5"/>
      <c r="P787" s="5"/>
      <c r="Q787" s="5"/>
      <c r="R787" s="5"/>
      <c r="S787" s="5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</row>
    <row r="788">
      <c r="A788" s="31"/>
      <c r="B788" s="304"/>
      <c r="C788" s="5"/>
      <c r="D788" s="5"/>
      <c r="E788" s="4"/>
      <c r="F788" s="4"/>
      <c r="G788" s="4"/>
      <c r="H788" s="4"/>
      <c r="I788" s="5"/>
      <c r="J788" s="4"/>
      <c r="K788" s="4"/>
      <c r="L788" s="4"/>
      <c r="M788" s="4"/>
      <c r="N788" s="5"/>
      <c r="O788" s="5"/>
      <c r="P788" s="5"/>
      <c r="Q788" s="5"/>
      <c r="R788" s="5"/>
      <c r="S788" s="5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</row>
    <row r="789">
      <c r="A789" s="31"/>
      <c r="B789" s="304"/>
      <c r="C789" s="5"/>
      <c r="D789" s="5"/>
      <c r="E789" s="4"/>
      <c r="F789" s="4"/>
      <c r="G789" s="4"/>
      <c r="H789" s="4"/>
      <c r="I789" s="5"/>
      <c r="J789" s="4"/>
      <c r="K789" s="4"/>
      <c r="L789" s="4"/>
      <c r="M789" s="4"/>
      <c r="N789" s="5"/>
      <c r="O789" s="5"/>
      <c r="P789" s="5"/>
      <c r="Q789" s="5"/>
      <c r="R789" s="5"/>
      <c r="S789" s="5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</row>
    <row r="790">
      <c r="A790" s="31"/>
      <c r="B790" s="304"/>
      <c r="C790" s="5"/>
      <c r="D790" s="5"/>
      <c r="E790" s="4"/>
      <c r="F790" s="4"/>
      <c r="G790" s="4"/>
      <c r="H790" s="4"/>
      <c r="I790" s="5"/>
      <c r="J790" s="4"/>
      <c r="K790" s="4"/>
      <c r="L790" s="4"/>
      <c r="M790" s="4"/>
      <c r="N790" s="5"/>
      <c r="O790" s="5"/>
      <c r="P790" s="5"/>
      <c r="Q790" s="5"/>
      <c r="R790" s="5"/>
      <c r="S790" s="5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</row>
    <row r="791">
      <c r="A791" s="31"/>
      <c r="B791" s="304"/>
      <c r="C791" s="5"/>
      <c r="D791" s="5"/>
      <c r="E791" s="4"/>
      <c r="F791" s="4"/>
      <c r="G791" s="4"/>
      <c r="H791" s="4"/>
      <c r="I791" s="5"/>
      <c r="J791" s="4"/>
      <c r="K791" s="4"/>
      <c r="L791" s="4"/>
      <c r="M791" s="4"/>
      <c r="N791" s="5"/>
      <c r="O791" s="5"/>
      <c r="P791" s="5"/>
      <c r="Q791" s="5"/>
      <c r="R791" s="5"/>
      <c r="S791" s="5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</row>
    <row r="792">
      <c r="A792" s="31"/>
      <c r="B792" s="304"/>
      <c r="C792" s="5"/>
      <c r="D792" s="5"/>
      <c r="E792" s="4"/>
      <c r="F792" s="4"/>
      <c r="G792" s="4"/>
      <c r="H792" s="4"/>
      <c r="I792" s="5"/>
      <c r="J792" s="4"/>
      <c r="K792" s="4"/>
      <c r="L792" s="4"/>
      <c r="M792" s="4"/>
      <c r="N792" s="5"/>
      <c r="O792" s="5"/>
      <c r="P792" s="5"/>
      <c r="Q792" s="5"/>
      <c r="R792" s="5"/>
      <c r="S792" s="5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</row>
    <row r="793">
      <c r="A793" s="31"/>
      <c r="B793" s="304"/>
      <c r="C793" s="5"/>
      <c r="D793" s="5"/>
      <c r="E793" s="4"/>
      <c r="F793" s="4"/>
      <c r="G793" s="4"/>
      <c r="H793" s="4"/>
      <c r="I793" s="5"/>
      <c r="J793" s="4"/>
      <c r="K793" s="4"/>
      <c r="L793" s="4"/>
      <c r="M793" s="4"/>
      <c r="N793" s="5"/>
      <c r="O793" s="5"/>
      <c r="P793" s="5"/>
      <c r="Q793" s="5"/>
      <c r="R793" s="5"/>
      <c r="S793" s="5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</row>
    <row r="794">
      <c r="A794" s="31"/>
      <c r="B794" s="304"/>
      <c r="C794" s="5"/>
      <c r="D794" s="5"/>
      <c r="E794" s="4"/>
      <c r="F794" s="4"/>
      <c r="G794" s="4"/>
      <c r="H794" s="4"/>
      <c r="I794" s="5"/>
      <c r="J794" s="4"/>
      <c r="K794" s="4"/>
      <c r="L794" s="4"/>
      <c r="M794" s="4"/>
      <c r="N794" s="5"/>
      <c r="O794" s="5"/>
      <c r="P794" s="5"/>
      <c r="Q794" s="5"/>
      <c r="R794" s="5"/>
      <c r="S794" s="5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</row>
    <row r="795">
      <c r="A795" s="31"/>
      <c r="B795" s="304"/>
      <c r="C795" s="5"/>
      <c r="D795" s="5"/>
      <c r="E795" s="4"/>
      <c r="F795" s="4"/>
      <c r="G795" s="4"/>
      <c r="H795" s="4"/>
      <c r="I795" s="5"/>
      <c r="J795" s="4"/>
      <c r="K795" s="4"/>
      <c r="L795" s="4"/>
      <c r="M795" s="4"/>
      <c r="N795" s="5"/>
      <c r="O795" s="5"/>
      <c r="P795" s="5"/>
      <c r="Q795" s="5"/>
      <c r="R795" s="5"/>
      <c r="S795" s="5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</row>
    <row r="796">
      <c r="A796" s="31"/>
      <c r="B796" s="304"/>
      <c r="C796" s="5"/>
      <c r="D796" s="5"/>
      <c r="E796" s="4"/>
      <c r="F796" s="4"/>
      <c r="G796" s="4"/>
      <c r="H796" s="4"/>
      <c r="I796" s="5"/>
      <c r="J796" s="4"/>
      <c r="K796" s="4"/>
      <c r="L796" s="4"/>
      <c r="M796" s="4"/>
      <c r="N796" s="5"/>
      <c r="O796" s="5"/>
      <c r="P796" s="5"/>
      <c r="Q796" s="5"/>
      <c r="R796" s="5"/>
      <c r="S796" s="5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</row>
    <row r="797">
      <c r="A797" s="31"/>
      <c r="B797" s="304"/>
      <c r="C797" s="5"/>
      <c r="D797" s="5"/>
      <c r="E797" s="4"/>
      <c r="F797" s="4"/>
      <c r="G797" s="4"/>
      <c r="H797" s="4"/>
      <c r="I797" s="5"/>
      <c r="J797" s="4"/>
      <c r="K797" s="4"/>
      <c r="L797" s="4"/>
      <c r="M797" s="4"/>
      <c r="N797" s="5"/>
      <c r="O797" s="5"/>
      <c r="P797" s="5"/>
      <c r="Q797" s="5"/>
      <c r="R797" s="5"/>
      <c r="S797" s="5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</row>
    <row r="798">
      <c r="A798" s="31"/>
      <c r="B798" s="304"/>
      <c r="C798" s="5"/>
      <c r="D798" s="5"/>
      <c r="E798" s="4"/>
      <c r="F798" s="4"/>
      <c r="G798" s="4"/>
      <c r="H798" s="4"/>
      <c r="I798" s="5"/>
      <c r="J798" s="4"/>
      <c r="K798" s="4"/>
      <c r="L798" s="4"/>
      <c r="M798" s="4"/>
      <c r="N798" s="5"/>
      <c r="O798" s="5"/>
      <c r="P798" s="5"/>
      <c r="Q798" s="5"/>
      <c r="R798" s="5"/>
      <c r="S798" s="5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</row>
    <row r="799">
      <c r="A799" s="31"/>
      <c r="B799" s="304"/>
      <c r="C799" s="5"/>
      <c r="D799" s="5"/>
      <c r="E799" s="4"/>
      <c r="F799" s="4"/>
      <c r="G799" s="4"/>
      <c r="H799" s="4"/>
      <c r="I799" s="5"/>
      <c r="J799" s="4"/>
      <c r="K799" s="4"/>
      <c r="L799" s="4"/>
      <c r="M799" s="4"/>
      <c r="N799" s="5"/>
      <c r="O799" s="5"/>
      <c r="P799" s="5"/>
      <c r="Q799" s="5"/>
      <c r="R799" s="5"/>
      <c r="S799" s="5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</row>
    <row r="800">
      <c r="A800" s="31"/>
      <c r="B800" s="304"/>
      <c r="C800" s="5"/>
      <c r="D800" s="5"/>
      <c r="E800" s="4"/>
      <c r="F800" s="4"/>
      <c r="G800" s="4"/>
      <c r="H800" s="4"/>
      <c r="I800" s="5"/>
      <c r="J800" s="4"/>
      <c r="K800" s="4"/>
      <c r="L800" s="4"/>
      <c r="M800" s="4"/>
      <c r="N800" s="5"/>
      <c r="O800" s="5"/>
      <c r="P800" s="5"/>
      <c r="Q800" s="5"/>
      <c r="R800" s="5"/>
      <c r="S800" s="5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</row>
    <row r="801">
      <c r="A801" s="31"/>
      <c r="B801" s="304"/>
      <c r="C801" s="5"/>
      <c r="D801" s="5"/>
      <c r="E801" s="4"/>
      <c r="F801" s="4"/>
      <c r="G801" s="4"/>
      <c r="H801" s="4"/>
      <c r="I801" s="5"/>
      <c r="J801" s="4"/>
      <c r="K801" s="4"/>
      <c r="L801" s="4"/>
      <c r="M801" s="4"/>
      <c r="N801" s="5"/>
      <c r="O801" s="5"/>
      <c r="P801" s="5"/>
      <c r="Q801" s="5"/>
      <c r="R801" s="5"/>
      <c r="S801" s="5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</row>
    <row r="802">
      <c r="A802" s="31"/>
      <c r="B802" s="304"/>
      <c r="C802" s="5"/>
      <c r="D802" s="5"/>
      <c r="E802" s="4"/>
      <c r="F802" s="4"/>
      <c r="G802" s="4"/>
      <c r="H802" s="4"/>
      <c r="I802" s="5"/>
      <c r="J802" s="4"/>
      <c r="K802" s="4"/>
      <c r="L802" s="4"/>
      <c r="M802" s="4"/>
      <c r="N802" s="5"/>
      <c r="O802" s="5"/>
      <c r="P802" s="5"/>
      <c r="Q802" s="5"/>
      <c r="R802" s="5"/>
      <c r="S802" s="5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</row>
    <row r="803">
      <c r="A803" s="31"/>
      <c r="B803" s="304"/>
      <c r="C803" s="5"/>
      <c r="D803" s="5"/>
      <c r="E803" s="4"/>
      <c r="F803" s="4"/>
      <c r="G803" s="4"/>
      <c r="H803" s="4"/>
      <c r="I803" s="5"/>
      <c r="J803" s="4"/>
      <c r="K803" s="4"/>
      <c r="L803" s="4"/>
      <c r="M803" s="4"/>
      <c r="N803" s="5"/>
      <c r="O803" s="5"/>
      <c r="P803" s="5"/>
      <c r="Q803" s="5"/>
      <c r="R803" s="5"/>
      <c r="S803" s="5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</row>
    <row r="804">
      <c r="A804" s="31"/>
      <c r="B804" s="304"/>
      <c r="C804" s="5"/>
      <c r="D804" s="5"/>
      <c r="E804" s="4"/>
      <c r="F804" s="4"/>
      <c r="G804" s="4"/>
      <c r="H804" s="4"/>
      <c r="I804" s="5"/>
      <c r="J804" s="4"/>
      <c r="K804" s="4"/>
      <c r="L804" s="4"/>
      <c r="M804" s="4"/>
      <c r="N804" s="5"/>
      <c r="O804" s="5"/>
      <c r="P804" s="5"/>
      <c r="Q804" s="5"/>
      <c r="R804" s="5"/>
      <c r="S804" s="5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</row>
    <row r="805">
      <c r="A805" s="31"/>
      <c r="B805" s="304"/>
      <c r="C805" s="5"/>
      <c r="D805" s="5"/>
      <c r="E805" s="4"/>
      <c r="F805" s="4"/>
      <c r="G805" s="4"/>
      <c r="H805" s="4"/>
      <c r="I805" s="5"/>
      <c r="J805" s="4"/>
      <c r="K805" s="4"/>
      <c r="L805" s="4"/>
      <c r="M805" s="4"/>
      <c r="N805" s="5"/>
      <c r="O805" s="5"/>
      <c r="P805" s="5"/>
      <c r="Q805" s="5"/>
      <c r="R805" s="5"/>
      <c r="S805" s="5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</row>
    <row r="806">
      <c r="A806" s="31"/>
      <c r="B806" s="304"/>
      <c r="C806" s="5"/>
      <c r="D806" s="5"/>
      <c r="E806" s="4"/>
      <c r="F806" s="4"/>
      <c r="G806" s="4"/>
      <c r="H806" s="4"/>
      <c r="I806" s="5"/>
      <c r="J806" s="4"/>
      <c r="K806" s="4"/>
      <c r="L806" s="4"/>
      <c r="M806" s="4"/>
      <c r="N806" s="5"/>
      <c r="O806" s="5"/>
      <c r="P806" s="5"/>
      <c r="Q806" s="5"/>
      <c r="R806" s="5"/>
      <c r="S806" s="5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</row>
    <row r="807">
      <c r="A807" s="31"/>
      <c r="B807" s="304"/>
      <c r="C807" s="5"/>
      <c r="D807" s="5"/>
      <c r="E807" s="4"/>
      <c r="F807" s="4"/>
      <c r="G807" s="4"/>
      <c r="H807" s="4"/>
      <c r="I807" s="5"/>
      <c r="J807" s="4"/>
      <c r="K807" s="4"/>
      <c r="L807" s="4"/>
      <c r="M807" s="4"/>
      <c r="N807" s="5"/>
      <c r="O807" s="5"/>
      <c r="P807" s="5"/>
      <c r="Q807" s="5"/>
      <c r="R807" s="5"/>
      <c r="S807" s="5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</row>
    <row r="808">
      <c r="A808" s="31"/>
      <c r="B808" s="304"/>
      <c r="C808" s="5"/>
      <c r="D808" s="5"/>
      <c r="E808" s="4"/>
      <c r="F808" s="4"/>
      <c r="G808" s="4"/>
      <c r="H808" s="4"/>
      <c r="I808" s="5"/>
      <c r="J808" s="4"/>
      <c r="K808" s="4"/>
      <c r="L808" s="4"/>
      <c r="M808" s="4"/>
      <c r="N808" s="5"/>
      <c r="O808" s="5"/>
      <c r="P808" s="5"/>
      <c r="Q808" s="5"/>
      <c r="R808" s="5"/>
      <c r="S808" s="5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</row>
    <row r="809">
      <c r="A809" s="31"/>
      <c r="B809" s="304"/>
      <c r="C809" s="5"/>
      <c r="D809" s="5"/>
      <c r="E809" s="4"/>
      <c r="F809" s="4"/>
      <c r="G809" s="4"/>
      <c r="H809" s="4"/>
      <c r="I809" s="5"/>
      <c r="J809" s="4"/>
      <c r="K809" s="4"/>
      <c r="L809" s="4"/>
      <c r="M809" s="4"/>
      <c r="N809" s="5"/>
      <c r="O809" s="5"/>
      <c r="P809" s="5"/>
      <c r="Q809" s="5"/>
      <c r="R809" s="5"/>
      <c r="S809" s="5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</row>
    <row r="810">
      <c r="A810" s="31"/>
      <c r="B810" s="304"/>
      <c r="C810" s="5"/>
      <c r="D810" s="5"/>
      <c r="E810" s="4"/>
      <c r="F810" s="4"/>
      <c r="G810" s="4"/>
      <c r="H810" s="4"/>
      <c r="I810" s="5"/>
      <c r="J810" s="4"/>
      <c r="K810" s="4"/>
      <c r="L810" s="4"/>
      <c r="M810" s="4"/>
      <c r="N810" s="5"/>
      <c r="O810" s="5"/>
      <c r="P810" s="5"/>
      <c r="Q810" s="5"/>
      <c r="R810" s="5"/>
      <c r="S810" s="5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</row>
    <row r="811">
      <c r="A811" s="31"/>
      <c r="B811" s="304"/>
      <c r="C811" s="5"/>
      <c r="D811" s="5"/>
      <c r="E811" s="4"/>
      <c r="F811" s="4"/>
      <c r="G811" s="4"/>
      <c r="H811" s="4"/>
      <c r="I811" s="5"/>
      <c r="J811" s="4"/>
      <c r="K811" s="4"/>
      <c r="L811" s="4"/>
      <c r="M811" s="4"/>
      <c r="N811" s="5"/>
      <c r="O811" s="5"/>
      <c r="P811" s="5"/>
      <c r="Q811" s="5"/>
      <c r="R811" s="5"/>
      <c r="S811" s="5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</row>
    <row r="812">
      <c r="A812" s="31"/>
      <c r="B812" s="304"/>
      <c r="C812" s="5"/>
      <c r="D812" s="5"/>
      <c r="E812" s="4"/>
      <c r="F812" s="4"/>
      <c r="G812" s="4"/>
      <c r="H812" s="4"/>
      <c r="I812" s="5"/>
      <c r="J812" s="4"/>
      <c r="K812" s="4"/>
      <c r="L812" s="4"/>
      <c r="M812" s="4"/>
      <c r="N812" s="5"/>
      <c r="O812" s="5"/>
      <c r="P812" s="5"/>
      <c r="Q812" s="5"/>
      <c r="R812" s="5"/>
      <c r="S812" s="5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</row>
    <row r="813">
      <c r="A813" s="31"/>
      <c r="B813" s="304"/>
      <c r="C813" s="5"/>
      <c r="D813" s="5"/>
      <c r="E813" s="4"/>
      <c r="F813" s="4"/>
      <c r="G813" s="4"/>
      <c r="H813" s="4"/>
      <c r="I813" s="5"/>
      <c r="J813" s="4"/>
      <c r="K813" s="4"/>
      <c r="L813" s="4"/>
      <c r="M813" s="4"/>
      <c r="N813" s="5"/>
      <c r="O813" s="5"/>
      <c r="P813" s="5"/>
      <c r="Q813" s="5"/>
      <c r="R813" s="5"/>
      <c r="S813" s="5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</row>
    <row r="814">
      <c r="A814" s="31"/>
      <c r="B814" s="304"/>
      <c r="C814" s="5"/>
      <c r="D814" s="5"/>
      <c r="E814" s="4"/>
      <c r="F814" s="4"/>
      <c r="G814" s="4"/>
      <c r="H814" s="4"/>
      <c r="I814" s="5"/>
      <c r="J814" s="4"/>
      <c r="K814" s="4"/>
      <c r="L814" s="4"/>
      <c r="M814" s="4"/>
      <c r="N814" s="5"/>
      <c r="O814" s="5"/>
      <c r="P814" s="5"/>
      <c r="Q814" s="5"/>
      <c r="R814" s="5"/>
      <c r="S814" s="5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</row>
    <row r="815">
      <c r="A815" s="31"/>
      <c r="B815" s="304"/>
      <c r="C815" s="5"/>
      <c r="D815" s="5"/>
      <c r="E815" s="4"/>
      <c r="F815" s="4"/>
      <c r="G815" s="4"/>
      <c r="H815" s="4"/>
      <c r="I815" s="5"/>
      <c r="J815" s="4"/>
      <c r="K815" s="4"/>
      <c r="L815" s="4"/>
      <c r="M815" s="4"/>
      <c r="N815" s="5"/>
      <c r="O815" s="5"/>
      <c r="P815" s="5"/>
      <c r="Q815" s="5"/>
      <c r="R815" s="5"/>
      <c r="S815" s="5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</row>
    <row r="816">
      <c r="A816" s="31"/>
      <c r="B816" s="304"/>
      <c r="C816" s="5"/>
      <c r="D816" s="5"/>
      <c r="E816" s="4"/>
      <c r="F816" s="4"/>
      <c r="G816" s="4"/>
      <c r="H816" s="4"/>
      <c r="I816" s="5"/>
      <c r="J816" s="4"/>
      <c r="K816" s="4"/>
      <c r="L816" s="4"/>
      <c r="M816" s="4"/>
      <c r="N816" s="5"/>
      <c r="O816" s="5"/>
      <c r="P816" s="5"/>
      <c r="Q816" s="5"/>
      <c r="R816" s="5"/>
      <c r="S816" s="5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</row>
    <row r="817">
      <c r="A817" s="31"/>
      <c r="B817" s="304"/>
      <c r="C817" s="5"/>
      <c r="D817" s="5"/>
      <c r="E817" s="4"/>
      <c r="F817" s="4"/>
      <c r="G817" s="4"/>
      <c r="H817" s="4"/>
      <c r="I817" s="5"/>
      <c r="J817" s="4"/>
      <c r="K817" s="4"/>
      <c r="L817" s="4"/>
      <c r="M817" s="4"/>
      <c r="N817" s="5"/>
      <c r="O817" s="5"/>
      <c r="P817" s="5"/>
      <c r="Q817" s="5"/>
      <c r="R817" s="5"/>
      <c r="S817" s="5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</row>
    <row r="818">
      <c r="A818" s="31"/>
      <c r="B818" s="304"/>
      <c r="C818" s="5"/>
      <c r="D818" s="5"/>
      <c r="E818" s="4"/>
      <c r="F818" s="4"/>
      <c r="G818" s="4"/>
      <c r="H818" s="4"/>
      <c r="I818" s="5"/>
      <c r="J818" s="4"/>
      <c r="K818" s="4"/>
      <c r="L818" s="4"/>
      <c r="M818" s="4"/>
      <c r="N818" s="5"/>
      <c r="O818" s="5"/>
      <c r="P818" s="5"/>
      <c r="Q818" s="5"/>
      <c r="R818" s="5"/>
      <c r="S818" s="5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</row>
    <row r="819">
      <c r="A819" s="31"/>
      <c r="B819" s="304"/>
      <c r="C819" s="5"/>
      <c r="D819" s="5"/>
      <c r="E819" s="4"/>
      <c r="F819" s="4"/>
      <c r="G819" s="4"/>
      <c r="H819" s="4"/>
      <c r="I819" s="5"/>
      <c r="J819" s="4"/>
      <c r="K819" s="4"/>
      <c r="L819" s="4"/>
      <c r="M819" s="4"/>
      <c r="N819" s="5"/>
      <c r="O819" s="5"/>
      <c r="P819" s="5"/>
      <c r="Q819" s="5"/>
      <c r="R819" s="5"/>
      <c r="S819" s="5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</row>
    <row r="820">
      <c r="A820" s="31"/>
      <c r="B820" s="304"/>
      <c r="C820" s="5"/>
      <c r="D820" s="5"/>
      <c r="E820" s="4"/>
      <c r="F820" s="4"/>
      <c r="G820" s="4"/>
      <c r="H820" s="4"/>
      <c r="I820" s="5"/>
      <c r="J820" s="4"/>
      <c r="K820" s="4"/>
      <c r="L820" s="4"/>
      <c r="M820" s="4"/>
      <c r="N820" s="5"/>
      <c r="O820" s="5"/>
      <c r="P820" s="5"/>
      <c r="Q820" s="5"/>
      <c r="R820" s="5"/>
      <c r="S820" s="5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</row>
    <row r="821">
      <c r="A821" s="31"/>
      <c r="B821" s="304"/>
      <c r="C821" s="5"/>
      <c r="D821" s="5"/>
      <c r="E821" s="4"/>
      <c r="F821" s="4"/>
      <c r="G821" s="4"/>
      <c r="H821" s="4"/>
      <c r="I821" s="5"/>
      <c r="J821" s="4"/>
      <c r="K821" s="4"/>
      <c r="L821" s="4"/>
      <c r="M821" s="4"/>
      <c r="N821" s="5"/>
      <c r="O821" s="5"/>
      <c r="P821" s="5"/>
      <c r="Q821" s="5"/>
      <c r="R821" s="5"/>
      <c r="S821" s="5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</row>
    <row r="822">
      <c r="A822" s="31"/>
      <c r="B822" s="304"/>
      <c r="C822" s="5"/>
      <c r="D822" s="5"/>
      <c r="E822" s="4"/>
      <c r="F822" s="4"/>
      <c r="G822" s="4"/>
      <c r="H822" s="4"/>
      <c r="I822" s="5"/>
      <c r="J822" s="4"/>
      <c r="K822" s="4"/>
      <c r="L822" s="4"/>
      <c r="M822" s="4"/>
      <c r="N822" s="5"/>
      <c r="O822" s="5"/>
      <c r="P822" s="5"/>
      <c r="Q822" s="5"/>
      <c r="R822" s="5"/>
      <c r="S822" s="5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</row>
    <row r="823">
      <c r="A823" s="31"/>
      <c r="B823" s="304"/>
      <c r="C823" s="5"/>
      <c r="D823" s="5"/>
      <c r="E823" s="4"/>
      <c r="F823" s="4"/>
      <c r="G823" s="4"/>
      <c r="H823" s="4"/>
      <c r="I823" s="5"/>
      <c r="J823" s="4"/>
      <c r="K823" s="4"/>
      <c r="L823" s="4"/>
      <c r="M823" s="4"/>
      <c r="N823" s="5"/>
      <c r="O823" s="5"/>
      <c r="P823" s="5"/>
      <c r="Q823" s="5"/>
      <c r="R823" s="5"/>
      <c r="S823" s="5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</row>
    <row r="824">
      <c r="A824" s="31"/>
      <c r="B824" s="304"/>
      <c r="C824" s="5"/>
      <c r="D824" s="5"/>
      <c r="E824" s="4"/>
      <c r="F824" s="4"/>
      <c r="G824" s="4"/>
      <c r="H824" s="4"/>
      <c r="I824" s="5"/>
      <c r="J824" s="4"/>
      <c r="K824" s="4"/>
      <c r="L824" s="4"/>
      <c r="M824" s="4"/>
      <c r="N824" s="5"/>
      <c r="O824" s="5"/>
      <c r="P824" s="5"/>
      <c r="Q824" s="5"/>
      <c r="R824" s="5"/>
      <c r="S824" s="5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</row>
    <row r="825">
      <c r="A825" s="31"/>
      <c r="B825" s="304"/>
      <c r="C825" s="5"/>
      <c r="D825" s="5"/>
      <c r="E825" s="4"/>
      <c r="F825" s="4"/>
      <c r="G825" s="4"/>
      <c r="H825" s="4"/>
      <c r="I825" s="5"/>
      <c r="J825" s="4"/>
      <c r="K825" s="4"/>
      <c r="L825" s="4"/>
      <c r="M825" s="4"/>
      <c r="N825" s="5"/>
      <c r="O825" s="5"/>
      <c r="P825" s="5"/>
      <c r="Q825" s="5"/>
      <c r="R825" s="5"/>
      <c r="S825" s="5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</row>
    <row r="826">
      <c r="A826" s="31"/>
      <c r="B826" s="304"/>
      <c r="C826" s="5"/>
      <c r="D826" s="5"/>
      <c r="E826" s="4"/>
      <c r="F826" s="4"/>
      <c r="G826" s="4"/>
      <c r="H826" s="4"/>
      <c r="I826" s="5"/>
      <c r="J826" s="4"/>
      <c r="K826" s="4"/>
      <c r="L826" s="4"/>
      <c r="M826" s="4"/>
      <c r="N826" s="5"/>
      <c r="O826" s="5"/>
      <c r="P826" s="5"/>
      <c r="Q826" s="5"/>
      <c r="R826" s="5"/>
      <c r="S826" s="5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</row>
    <row r="827">
      <c r="A827" s="31"/>
      <c r="B827" s="304"/>
      <c r="C827" s="5"/>
      <c r="D827" s="5"/>
      <c r="E827" s="4"/>
      <c r="F827" s="4"/>
      <c r="G827" s="4"/>
      <c r="H827" s="4"/>
      <c r="I827" s="5"/>
      <c r="J827" s="4"/>
      <c r="K827" s="4"/>
      <c r="L827" s="4"/>
      <c r="M827" s="4"/>
      <c r="N827" s="5"/>
      <c r="O827" s="5"/>
      <c r="P827" s="5"/>
      <c r="Q827" s="5"/>
      <c r="R827" s="5"/>
      <c r="S827" s="5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</row>
    <row r="828">
      <c r="A828" s="31"/>
      <c r="B828" s="304"/>
      <c r="C828" s="5"/>
      <c r="D828" s="5"/>
      <c r="E828" s="4"/>
      <c r="F828" s="4"/>
      <c r="G828" s="4"/>
      <c r="H828" s="4"/>
      <c r="I828" s="5"/>
      <c r="J828" s="4"/>
      <c r="K828" s="4"/>
      <c r="L828" s="4"/>
      <c r="M828" s="4"/>
      <c r="N828" s="5"/>
      <c r="O828" s="5"/>
      <c r="P828" s="5"/>
      <c r="Q828" s="5"/>
      <c r="R828" s="5"/>
      <c r="S828" s="5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</row>
    <row r="829">
      <c r="A829" s="31"/>
      <c r="B829" s="304"/>
      <c r="C829" s="5"/>
      <c r="D829" s="5"/>
      <c r="E829" s="4"/>
      <c r="F829" s="4"/>
      <c r="G829" s="4"/>
      <c r="H829" s="4"/>
      <c r="I829" s="5"/>
      <c r="J829" s="4"/>
      <c r="K829" s="4"/>
      <c r="L829" s="4"/>
      <c r="M829" s="4"/>
      <c r="N829" s="5"/>
      <c r="O829" s="5"/>
      <c r="P829" s="5"/>
      <c r="Q829" s="5"/>
      <c r="R829" s="5"/>
      <c r="S829" s="5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</row>
    <row r="830">
      <c r="A830" s="31"/>
      <c r="B830" s="304"/>
      <c r="C830" s="5"/>
      <c r="D830" s="5"/>
      <c r="E830" s="4"/>
      <c r="F830" s="4"/>
      <c r="G830" s="4"/>
      <c r="H830" s="4"/>
      <c r="I830" s="5"/>
      <c r="J830" s="4"/>
      <c r="K830" s="4"/>
      <c r="L830" s="4"/>
      <c r="M830" s="4"/>
      <c r="N830" s="5"/>
      <c r="O830" s="5"/>
      <c r="P830" s="5"/>
      <c r="Q830" s="5"/>
      <c r="R830" s="5"/>
      <c r="S830" s="5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</row>
    <row r="831">
      <c r="A831" s="31"/>
      <c r="B831" s="304"/>
      <c r="C831" s="5"/>
      <c r="D831" s="5"/>
      <c r="E831" s="4"/>
      <c r="F831" s="4"/>
      <c r="G831" s="4"/>
      <c r="H831" s="4"/>
      <c r="I831" s="5"/>
      <c r="J831" s="4"/>
      <c r="K831" s="4"/>
      <c r="L831" s="4"/>
      <c r="M831" s="4"/>
      <c r="N831" s="5"/>
      <c r="O831" s="5"/>
      <c r="P831" s="5"/>
      <c r="Q831" s="5"/>
      <c r="R831" s="5"/>
      <c r="S831" s="5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</row>
    <row r="832">
      <c r="A832" s="31"/>
      <c r="B832" s="304"/>
      <c r="C832" s="5"/>
      <c r="D832" s="5"/>
      <c r="E832" s="4"/>
      <c r="F832" s="4"/>
      <c r="G832" s="4"/>
      <c r="H832" s="4"/>
      <c r="I832" s="5"/>
      <c r="J832" s="4"/>
      <c r="K832" s="4"/>
      <c r="L832" s="4"/>
      <c r="M832" s="4"/>
      <c r="N832" s="5"/>
      <c r="O832" s="5"/>
      <c r="P832" s="5"/>
      <c r="Q832" s="5"/>
      <c r="R832" s="5"/>
      <c r="S832" s="5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</row>
    <row r="833">
      <c r="A833" s="31"/>
      <c r="B833" s="304"/>
      <c r="C833" s="5"/>
      <c r="D833" s="5"/>
      <c r="E833" s="4"/>
      <c r="F833" s="4"/>
      <c r="G833" s="4"/>
      <c r="H833" s="4"/>
      <c r="I833" s="5"/>
      <c r="J833" s="4"/>
      <c r="K833" s="4"/>
      <c r="L833" s="4"/>
      <c r="M833" s="4"/>
      <c r="N833" s="5"/>
      <c r="O833" s="5"/>
      <c r="P833" s="5"/>
      <c r="Q833" s="5"/>
      <c r="R833" s="5"/>
      <c r="S833" s="5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</row>
    <row r="834">
      <c r="A834" s="31"/>
      <c r="B834" s="304"/>
      <c r="C834" s="5"/>
      <c r="D834" s="5"/>
      <c r="E834" s="4"/>
      <c r="F834" s="4"/>
      <c r="G834" s="4"/>
      <c r="H834" s="4"/>
      <c r="I834" s="5"/>
      <c r="J834" s="4"/>
      <c r="K834" s="4"/>
      <c r="L834" s="4"/>
      <c r="M834" s="4"/>
      <c r="N834" s="5"/>
      <c r="O834" s="5"/>
      <c r="P834" s="5"/>
      <c r="Q834" s="5"/>
      <c r="R834" s="5"/>
      <c r="S834" s="5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</row>
    <row r="835">
      <c r="A835" s="31"/>
      <c r="B835" s="304"/>
      <c r="C835" s="5"/>
      <c r="D835" s="5"/>
      <c r="E835" s="4"/>
      <c r="F835" s="4"/>
      <c r="G835" s="4"/>
      <c r="H835" s="4"/>
      <c r="I835" s="5"/>
      <c r="J835" s="4"/>
      <c r="K835" s="4"/>
      <c r="L835" s="4"/>
      <c r="M835" s="4"/>
      <c r="N835" s="5"/>
      <c r="O835" s="5"/>
      <c r="P835" s="5"/>
      <c r="Q835" s="5"/>
      <c r="R835" s="5"/>
      <c r="S835" s="5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</row>
    <row r="836">
      <c r="A836" s="31"/>
      <c r="B836" s="304"/>
      <c r="C836" s="5"/>
      <c r="D836" s="5"/>
      <c r="E836" s="4"/>
      <c r="F836" s="4"/>
      <c r="G836" s="4"/>
      <c r="H836" s="4"/>
      <c r="I836" s="5"/>
      <c r="J836" s="4"/>
      <c r="K836" s="4"/>
      <c r="L836" s="4"/>
      <c r="M836" s="4"/>
      <c r="N836" s="5"/>
      <c r="O836" s="5"/>
      <c r="P836" s="5"/>
      <c r="Q836" s="5"/>
      <c r="R836" s="5"/>
      <c r="S836" s="5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</row>
    <row r="837">
      <c r="A837" s="31"/>
      <c r="B837" s="304"/>
      <c r="C837" s="5"/>
      <c r="D837" s="5"/>
      <c r="E837" s="4"/>
      <c r="F837" s="4"/>
      <c r="G837" s="4"/>
      <c r="H837" s="4"/>
      <c r="I837" s="5"/>
      <c r="J837" s="4"/>
      <c r="K837" s="4"/>
      <c r="L837" s="4"/>
      <c r="M837" s="4"/>
      <c r="N837" s="5"/>
      <c r="O837" s="5"/>
      <c r="P837" s="5"/>
      <c r="Q837" s="5"/>
      <c r="R837" s="5"/>
      <c r="S837" s="5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</row>
    <row r="838">
      <c r="A838" s="31"/>
      <c r="B838" s="304"/>
      <c r="C838" s="5"/>
      <c r="D838" s="5"/>
      <c r="E838" s="4"/>
      <c r="F838" s="4"/>
      <c r="G838" s="4"/>
      <c r="H838" s="4"/>
      <c r="I838" s="5"/>
      <c r="J838" s="4"/>
      <c r="K838" s="4"/>
      <c r="L838" s="4"/>
      <c r="M838" s="4"/>
      <c r="N838" s="5"/>
      <c r="O838" s="5"/>
      <c r="P838" s="5"/>
      <c r="Q838" s="5"/>
      <c r="R838" s="5"/>
      <c r="S838" s="5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</row>
    <row r="839">
      <c r="A839" s="31"/>
      <c r="B839" s="304"/>
      <c r="C839" s="5"/>
      <c r="D839" s="5"/>
      <c r="E839" s="4"/>
      <c r="F839" s="4"/>
      <c r="G839" s="4"/>
      <c r="H839" s="4"/>
      <c r="I839" s="5"/>
      <c r="J839" s="4"/>
      <c r="K839" s="4"/>
      <c r="L839" s="4"/>
      <c r="M839" s="4"/>
      <c r="N839" s="5"/>
      <c r="O839" s="5"/>
      <c r="P839" s="5"/>
      <c r="Q839" s="5"/>
      <c r="R839" s="5"/>
      <c r="S839" s="5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</row>
    <row r="840">
      <c r="A840" s="31"/>
      <c r="B840" s="304"/>
      <c r="C840" s="5"/>
      <c r="D840" s="5"/>
      <c r="E840" s="4"/>
      <c r="F840" s="4"/>
      <c r="G840" s="4"/>
      <c r="H840" s="4"/>
      <c r="I840" s="5"/>
      <c r="J840" s="4"/>
      <c r="K840" s="4"/>
      <c r="L840" s="4"/>
      <c r="M840" s="4"/>
      <c r="N840" s="5"/>
      <c r="O840" s="5"/>
      <c r="P840" s="5"/>
      <c r="Q840" s="5"/>
      <c r="R840" s="5"/>
      <c r="S840" s="5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</row>
    <row r="841">
      <c r="A841" s="31"/>
      <c r="B841" s="304"/>
      <c r="C841" s="5"/>
      <c r="D841" s="5"/>
      <c r="E841" s="4"/>
      <c r="F841" s="4"/>
      <c r="G841" s="4"/>
      <c r="H841" s="4"/>
      <c r="I841" s="5"/>
      <c r="J841" s="4"/>
      <c r="K841" s="4"/>
      <c r="L841" s="4"/>
      <c r="M841" s="4"/>
      <c r="N841" s="5"/>
      <c r="O841" s="5"/>
      <c r="P841" s="5"/>
      <c r="Q841" s="5"/>
      <c r="R841" s="5"/>
      <c r="S841" s="5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</row>
    <row r="842">
      <c r="A842" s="31"/>
      <c r="B842" s="304"/>
      <c r="C842" s="5"/>
      <c r="D842" s="5"/>
      <c r="E842" s="4"/>
      <c r="F842" s="4"/>
      <c r="G842" s="4"/>
      <c r="H842" s="4"/>
      <c r="I842" s="5"/>
      <c r="J842" s="4"/>
      <c r="K842" s="4"/>
      <c r="L842" s="4"/>
      <c r="M842" s="4"/>
      <c r="N842" s="5"/>
      <c r="O842" s="5"/>
      <c r="P842" s="5"/>
      <c r="Q842" s="5"/>
      <c r="R842" s="5"/>
      <c r="S842" s="5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</row>
    <row r="843">
      <c r="A843" s="31"/>
      <c r="B843" s="304"/>
      <c r="C843" s="5"/>
      <c r="D843" s="5"/>
      <c r="E843" s="4"/>
      <c r="F843" s="4"/>
      <c r="G843" s="4"/>
      <c r="H843" s="4"/>
      <c r="I843" s="5"/>
      <c r="J843" s="4"/>
      <c r="K843" s="4"/>
      <c r="L843" s="4"/>
      <c r="M843" s="4"/>
      <c r="N843" s="5"/>
      <c r="O843" s="5"/>
      <c r="P843" s="5"/>
      <c r="Q843" s="5"/>
      <c r="R843" s="5"/>
      <c r="S843" s="5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</row>
    <row r="844">
      <c r="A844" s="31"/>
      <c r="B844" s="304"/>
      <c r="C844" s="5"/>
      <c r="D844" s="5"/>
      <c r="E844" s="4"/>
      <c r="F844" s="4"/>
      <c r="G844" s="4"/>
      <c r="H844" s="4"/>
      <c r="I844" s="5"/>
      <c r="J844" s="4"/>
      <c r="K844" s="4"/>
      <c r="L844" s="4"/>
      <c r="M844" s="4"/>
      <c r="N844" s="5"/>
      <c r="O844" s="5"/>
      <c r="P844" s="5"/>
      <c r="Q844" s="5"/>
      <c r="R844" s="5"/>
      <c r="S844" s="5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</row>
    <row r="845">
      <c r="A845" s="31"/>
      <c r="B845" s="304"/>
      <c r="C845" s="5"/>
      <c r="D845" s="5"/>
      <c r="E845" s="4"/>
      <c r="F845" s="4"/>
      <c r="G845" s="4"/>
      <c r="H845" s="4"/>
      <c r="I845" s="5"/>
      <c r="J845" s="4"/>
      <c r="K845" s="4"/>
      <c r="L845" s="4"/>
      <c r="M845" s="4"/>
      <c r="N845" s="5"/>
      <c r="O845" s="5"/>
      <c r="P845" s="5"/>
      <c r="Q845" s="5"/>
      <c r="R845" s="5"/>
      <c r="S845" s="5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</row>
    <row r="846">
      <c r="A846" s="31"/>
      <c r="B846" s="304"/>
      <c r="C846" s="5"/>
      <c r="D846" s="5"/>
      <c r="E846" s="4"/>
      <c r="F846" s="4"/>
      <c r="G846" s="4"/>
      <c r="H846" s="4"/>
      <c r="I846" s="5"/>
      <c r="J846" s="4"/>
      <c r="K846" s="4"/>
      <c r="L846" s="4"/>
      <c r="M846" s="4"/>
      <c r="N846" s="5"/>
      <c r="O846" s="5"/>
      <c r="P846" s="5"/>
      <c r="Q846" s="5"/>
      <c r="R846" s="5"/>
      <c r="S846" s="5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</row>
    <row r="847">
      <c r="A847" s="31"/>
      <c r="B847" s="304"/>
      <c r="C847" s="5"/>
      <c r="D847" s="5"/>
      <c r="E847" s="4"/>
      <c r="F847" s="4"/>
      <c r="G847" s="4"/>
      <c r="H847" s="4"/>
      <c r="I847" s="5"/>
      <c r="J847" s="4"/>
      <c r="K847" s="4"/>
      <c r="L847" s="4"/>
      <c r="M847" s="4"/>
      <c r="N847" s="5"/>
      <c r="O847" s="5"/>
      <c r="P847" s="5"/>
      <c r="Q847" s="5"/>
      <c r="R847" s="5"/>
      <c r="S847" s="5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</row>
    <row r="848">
      <c r="A848" s="31"/>
      <c r="B848" s="304"/>
      <c r="C848" s="5"/>
      <c r="D848" s="5"/>
      <c r="E848" s="4"/>
      <c r="F848" s="4"/>
      <c r="G848" s="4"/>
      <c r="H848" s="4"/>
      <c r="I848" s="5"/>
      <c r="J848" s="4"/>
      <c r="K848" s="4"/>
      <c r="L848" s="4"/>
      <c r="M848" s="4"/>
      <c r="N848" s="5"/>
      <c r="O848" s="5"/>
      <c r="P848" s="5"/>
      <c r="Q848" s="5"/>
      <c r="R848" s="5"/>
      <c r="S848" s="5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</row>
    <row r="849">
      <c r="A849" s="31"/>
      <c r="B849" s="304"/>
      <c r="C849" s="5"/>
      <c r="D849" s="5"/>
      <c r="E849" s="4"/>
      <c r="F849" s="4"/>
      <c r="G849" s="4"/>
      <c r="H849" s="4"/>
      <c r="I849" s="5"/>
      <c r="J849" s="4"/>
      <c r="K849" s="4"/>
      <c r="L849" s="4"/>
      <c r="M849" s="4"/>
      <c r="N849" s="5"/>
      <c r="O849" s="5"/>
      <c r="P849" s="5"/>
      <c r="Q849" s="5"/>
      <c r="R849" s="5"/>
      <c r="S849" s="5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</row>
    <row r="850">
      <c r="A850" s="31"/>
      <c r="B850" s="304"/>
      <c r="C850" s="5"/>
      <c r="D850" s="5"/>
      <c r="E850" s="4"/>
      <c r="F850" s="4"/>
      <c r="G850" s="4"/>
      <c r="H850" s="4"/>
      <c r="I850" s="5"/>
      <c r="J850" s="4"/>
      <c r="K850" s="4"/>
      <c r="L850" s="4"/>
      <c r="M850" s="4"/>
      <c r="N850" s="5"/>
      <c r="O850" s="5"/>
      <c r="P850" s="5"/>
      <c r="Q850" s="5"/>
      <c r="R850" s="5"/>
      <c r="S850" s="5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</row>
    <row r="851">
      <c r="A851" s="31"/>
      <c r="B851" s="304"/>
      <c r="C851" s="5"/>
      <c r="D851" s="5"/>
      <c r="E851" s="4"/>
      <c r="F851" s="4"/>
      <c r="G851" s="4"/>
      <c r="H851" s="4"/>
      <c r="I851" s="5"/>
      <c r="J851" s="4"/>
      <c r="K851" s="4"/>
      <c r="L851" s="4"/>
      <c r="M851" s="4"/>
      <c r="N851" s="5"/>
      <c r="O851" s="5"/>
      <c r="P851" s="5"/>
      <c r="Q851" s="5"/>
      <c r="R851" s="5"/>
      <c r="S851" s="5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</row>
    <row r="852">
      <c r="A852" s="31"/>
      <c r="B852" s="304"/>
      <c r="C852" s="5"/>
      <c r="D852" s="5"/>
      <c r="E852" s="4"/>
      <c r="F852" s="4"/>
      <c r="G852" s="4"/>
      <c r="H852" s="4"/>
      <c r="I852" s="5"/>
      <c r="J852" s="4"/>
      <c r="K852" s="4"/>
      <c r="L852" s="4"/>
      <c r="M852" s="4"/>
      <c r="N852" s="5"/>
      <c r="O852" s="5"/>
      <c r="P852" s="5"/>
      <c r="Q852" s="5"/>
      <c r="R852" s="5"/>
      <c r="S852" s="5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</row>
    <row r="853">
      <c r="A853" s="31"/>
      <c r="B853" s="304"/>
      <c r="C853" s="5"/>
      <c r="D853" s="5"/>
      <c r="E853" s="4"/>
      <c r="F853" s="4"/>
      <c r="G853" s="4"/>
      <c r="H853" s="4"/>
      <c r="I853" s="5"/>
      <c r="J853" s="4"/>
      <c r="K853" s="4"/>
      <c r="L853" s="4"/>
      <c r="M853" s="4"/>
      <c r="N853" s="5"/>
      <c r="O853" s="5"/>
      <c r="P853" s="5"/>
      <c r="Q853" s="5"/>
      <c r="R853" s="5"/>
      <c r="S853" s="5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</row>
    <row r="854">
      <c r="A854" s="31"/>
      <c r="B854" s="304"/>
      <c r="C854" s="5"/>
      <c r="D854" s="5"/>
      <c r="E854" s="4"/>
      <c r="F854" s="4"/>
      <c r="G854" s="4"/>
      <c r="H854" s="4"/>
      <c r="I854" s="5"/>
      <c r="J854" s="4"/>
      <c r="K854" s="4"/>
      <c r="L854" s="4"/>
      <c r="M854" s="4"/>
      <c r="N854" s="5"/>
      <c r="O854" s="5"/>
      <c r="P854" s="5"/>
      <c r="Q854" s="5"/>
      <c r="R854" s="5"/>
      <c r="S854" s="5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</row>
    <row r="855">
      <c r="A855" s="31"/>
      <c r="B855" s="304"/>
      <c r="C855" s="5"/>
      <c r="D855" s="5"/>
      <c r="E855" s="4"/>
      <c r="F855" s="4"/>
      <c r="G855" s="4"/>
      <c r="H855" s="4"/>
      <c r="I855" s="5"/>
      <c r="J855" s="4"/>
      <c r="K855" s="4"/>
      <c r="L855" s="4"/>
      <c r="M855" s="4"/>
      <c r="N855" s="5"/>
      <c r="O855" s="5"/>
      <c r="P855" s="5"/>
      <c r="Q855" s="5"/>
      <c r="R855" s="5"/>
      <c r="S855" s="5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</row>
    <row r="856">
      <c r="A856" s="31"/>
      <c r="B856" s="304"/>
      <c r="C856" s="5"/>
      <c r="D856" s="5"/>
      <c r="E856" s="4"/>
      <c r="F856" s="4"/>
      <c r="G856" s="4"/>
      <c r="H856" s="4"/>
      <c r="I856" s="5"/>
      <c r="J856" s="4"/>
      <c r="K856" s="4"/>
      <c r="L856" s="4"/>
      <c r="M856" s="4"/>
      <c r="N856" s="5"/>
      <c r="O856" s="5"/>
      <c r="P856" s="5"/>
      <c r="Q856" s="5"/>
      <c r="R856" s="5"/>
      <c r="S856" s="5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</row>
    <row r="857">
      <c r="A857" s="31"/>
      <c r="B857" s="304"/>
      <c r="C857" s="5"/>
      <c r="D857" s="5"/>
      <c r="E857" s="4"/>
      <c r="F857" s="4"/>
      <c r="G857" s="4"/>
      <c r="H857" s="4"/>
      <c r="I857" s="5"/>
      <c r="J857" s="4"/>
      <c r="K857" s="4"/>
      <c r="L857" s="4"/>
      <c r="M857" s="4"/>
      <c r="N857" s="5"/>
      <c r="O857" s="5"/>
      <c r="P857" s="5"/>
      <c r="Q857" s="5"/>
      <c r="R857" s="5"/>
      <c r="S857" s="5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</row>
    <row r="858">
      <c r="A858" s="31"/>
      <c r="B858" s="304"/>
      <c r="C858" s="5"/>
      <c r="D858" s="5"/>
      <c r="E858" s="4"/>
      <c r="F858" s="4"/>
      <c r="G858" s="4"/>
      <c r="H858" s="4"/>
      <c r="I858" s="5"/>
      <c r="J858" s="4"/>
      <c r="K858" s="4"/>
      <c r="L858" s="4"/>
      <c r="M858" s="4"/>
      <c r="N858" s="5"/>
      <c r="O858" s="5"/>
      <c r="P858" s="5"/>
      <c r="Q858" s="5"/>
      <c r="R858" s="5"/>
      <c r="S858" s="5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</row>
    <row r="859">
      <c r="A859" s="31"/>
      <c r="B859" s="304"/>
      <c r="C859" s="5"/>
      <c r="D859" s="5"/>
      <c r="E859" s="4"/>
      <c r="F859" s="4"/>
      <c r="G859" s="4"/>
      <c r="H859" s="4"/>
      <c r="I859" s="5"/>
      <c r="J859" s="4"/>
      <c r="K859" s="4"/>
      <c r="L859" s="4"/>
      <c r="M859" s="4"/>
      <c r="N859" s="5"/>
      <c r="O859" s="5"/>
      <c r="P859" s="5"/>
      <c r="Q859" s="5"/>
      <c r="R859" s="5"/>
      <c r="S859" s="5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</row>
    <row r="860">
      <c r="A860" s="31"/>
      <c r="B860" s="304"/>
      <c r="C860" s="5"/>
      <c r="D860" s="5"/>
      <c r="E860" s="4"/>
      <c r="F860" s="4"/>
      <c r="G860" s="4"/>
      <c r="H860" s="4"/>
      <c r="I860" s="5"/>
      <c r="J860" s="4"/>
      <c r="K860" s="4"/>
      <c r="L860" s="4"/>
      <c r="M860" s="4"/>
      <c r="N860" s="5"/>
      <c r="O860" s="5"/>
      <c r="P860" s="5"/>
      <c r="Q860" s="5"/>
      <c r="R860" s="5"/>
      <c r="S860" s="5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</row>
    <row r="861">
      <c r="A861" s="31"/>
      <c r="B861" s="304"/>
      <c r="C861" s="5"/>
      <c r="D861" s="5"/>
      <c r="E861" s="4"/>
      <c r="F861" s="4"/>
      <c r="G861" s="4"/>
      <c r="H861" s="4"/>
      <c r="I861" s="5"/>
      <c r="J861" s="4"/>
      <c r="K861" s="4"/>
      <c r="L861" s="4"/>
      <c r="M861" s="4"/>
      <c r="N861" s="5"/>
      <c r="O861" s="5"/>
      <c r="P861" s="5"/>
      <c r="Q861" s="5"/>
      <c r="R861" s="5"/>
      <c r="S861" s="5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</row>
    <row r="862">
      <c r="A862" s="31"/>
      <c r="B862" s="304"/>
      <c r="C862" s="5"/>
      <c r="D862" s="5"/>
      <c r="E862" s="4"/>
      <c r="F862" s="4"/>
      <c r="G862" s="4"/>
      <c r="H862" s="4"/>
      <c r="I862" s="5"/>
      <c r="J862" s="4"/>
      <c r="K862" s="4"/>
      <c r="L862" s="4"/>
      <c r="M862" s="4"/>
      <c r="N862" s="5"/>
      <c r="O862" s="5"/>
      <c r="P862" s="5"/>
      <c r="Q862" s="5"/>
      <c r="R862" s="5"/>
      <c r="S862" s="5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</row>
    <row r="863">
      <c r="A863" s="31"/>
      <c r="B863" s="304"/>
      <c r="C863" s="5"/>
      <c r="D863" s="5"/>
      <c r="E863" s="4"/>
      <c r="F863" s="4"/>
      <c r="G863" s="4"/>
      <c r="H863" s="4"/>
      <c r="I863" s="5"/>
      <c r="J863" s="4"/>
      <c r="K863" s="4"/>
      <c r="L863" s="4"/>
      <c r="M863" s="4"/>
      <c r="N863" s="5"/>
      <c r="O863" s="5"/>
      <c r="P863" s="5"/>
      <c r="Q863" s="5"/>
      <c r="R863" s="5"/>
      <c r="S863" s="5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</row>
    <row r="864">
      <c r="A864" s="31"/>
      <c r="B864" s="304"/>
      <c r="C864" s="5"/>
      <c r="D864" s="5"/>
      <c r="E864" s="4"/>
      <c r="F864" s="4"/>
      <c r="G864" s="4"/>
      <c r="H864" s="4"/>
      <c r="I864" s="5"/>
      <c r="J864" s="4"/>
      <c r="K864" s="4"/>
      <c r="L864" s="4"/>
      <c r="M864" s="4"/>
      <c r="N864" s="5"/>
      <c r="O864" s="5"/>
      <c r="P864" s="5"/>
      <c r="Q864" s="5"/>
      <c r="R864" s="5"/>
      <c r="S864" s="5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</row>
    <row r="865">
      <c r="A865" s="31"/>
      <c r="B865" s="304"/>
      <c r="C865" s="5"/>
      <c r="D865" s="5"/>
      <c r="E865" s="4"/>
      <c r="F865" s="4"/>
      <c r="G865" s="4"/>
      <c r="H865" s="4"/>
      <c r="I865" s="5"/>
      <c r="J865" s="4"/>
      <c r="K865" s="4"/>
      <c r="L865" s="4"/>
      <c r="M865" s="4"/>
      <c r="N865" s="5"/>
      <c r="O865" s="5"/>
      <c r="P865" s="5"/>
      <c r="Q865" s="5"/>
      <c r="R865" s="5"/>
      <c r="S865" s="5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</row>
    <row r="866">
      <c r="A866" s="31"/>
      <c r="B866" s="304"/>
      <c r="C866" s="5"/>
      <c r="D866" s="5"/>
      <c r="E866" s="4"/>
      <c r="F866" s="4"/>
      <c r="G866" s="4"/>
      <c r="H866" s="4"/>
      <c r="I866" s="5"/>
      <c r="J866" s="4"/>
      <c r="K866" s="4"/>
      <c r="L866" s="4"/>
      <c r="M866" s="4"/>
      <c r="N866" s="5"/>
      <c r="O866" s="5"/>
      <c r="P866" s="5"/>
      <c r="Q866" s="5"/>
      <c r="R866" s="5"/>
      <c r="S866" s="5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</row>
    <row r="867">
      <c r="A867" s="31"/>
      <c r="B867" s="304"/>
      <c r="C867" s="5"/>
      <c r="D867" s="5"/>
      <c r="E867" s="4"/>
      <c r="F867" s="4"/>
      <c r="G867" s="4"/>
      <c r="H867" s="4"/>
      <c r="I867" s="5"/>
      <c r="J867" s="4"/>
      <c r="K867" s="4"/>
      <c r="L867" s="4"/>
      <c r="M867" s="4"/>
      <c r="N867" s="5"/>
      <c r="O867" s="5"/>
      <c r="P867" s="5"/>
      <c r="Q867" s="5"/>
      <c r="R867" s="5"/>
      <c r="S867" s="5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</row>
    <row r="868">
      <c r="A868" s="31"/>
      <c r="B868" s="304"/>
      <c r="C868" s="5"/>
      <c r="D868" s="5"/>
      <c r="E868" s="4"/>
      <c r="F868" s="4"/>
      <c r="G868" s="4"/>
      <c r="H868" s="4"/>
      <c r="I868" s="5"/>
      <c r="J868" s="4"/>
      <c r="K868" s="4"/>
      <c r="L868" s="4"/>
      <c r="M868" s="4"/>
      <c r="N868" s="5"/>
      <c r="O868" s="5"/>
      <c r="P868" s="5"/>
      <c r="Q868" s="5"/>
      <c r="R868" s="5"/>
      <c r="S868" s="5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</row>
    <row r="869">
      <c r="A869" s="31"/>
      <c r="B869" s="304"/>
      <c r="C869" s="5"/>
      <c r="D869" s="5"/>
      <c r="E869" s="4"/>
      <c r="F869" s="4"/>
      <c r="G869" s="4"/>
      <c r="H869" s="4"/>
      <c r="I869" s="5"/>
      <c r="J869" s="4"/>
      <c r="K869" s="4"/>
      <c r="L869" s="4"/>
      <c r="M869" s="4"/>
      <c r="N869" s="5"/>
      <c r="O869" s="5"/>
      <c r="P869" s="5"/>
      <c r="Q869" s="5"/>
      <c r="R869" s="5"/>
      <c r="S869" s="5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</row>
    <row r="870">
      <c r="A870" s="31"/>
      <c r="B870" s="304"/>
      <c r="C870" s="5"/>
      <c r="D870" s="5"/>
      <c r="E870" s="4"/>
      <c r="F870" s="4"/>
      <c r="G870" s="4"/>
      <c r="H870" s="4"/>
      <c r="I870" s="5"/>
      <c r="J870" s="4"/>
      <c r="K870" s="4"/>
      <c r="L870" s="4"/>
      <c r="M870" s="4"/>
      <c r="N870" s="5"/>
      <c r="O870" s="5"/>
      <c r="P870" s="5"/>
      <c r="Q870" s="5"/>
      <c r="R870" s="5"/>
      <c r="S870" s="5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</row>
    <row r="871">
      <c r="A871" s="31"/>
      <c r="B871" s="304"/>
      <c r="C871" s="5"/>
      <c r="D871" s="5"/>
      <c r="E871" s="4"/>
      <c r="F871" s="4"/>
      <c r="G871" s="4"/>
      <c r="H871" s="4"/>
      <c r="I871" s="5"/>
      <c r="J871" s="4"/>
      <c r="K871" s="4"/>
      <c r="L871" s="4"/>
      <c r="M871" s="4"/>
      <c r="N871" s="5"/>
      <c r="O871" s="5"/>
      <c r="P871" s="5"/>
      <c r="Q871" s="5"/>
      <c r="R871" s="5"/>
      <c r="S871" s="5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</row>
    <row r="872">
      <c r="A872" s="31"/>
      <c r="B872" s="304"/>
      <c r="C872" s="5"/>
      <c r="D872" s="5"/>
      <c r="E872" s="4"/>
      <c r="F872" s="4"/>
      <c r="G872" s="4"/>
      <c r="H872" s="4"/>
      <c r="I872" s="5"/>
      <c r="J872" s="4"/>
      <c r="K872" s="4"/>
      <c r="L872" s="4"/>
      <c r="M872" s="4"/>
      <c r="N872" s="5"/>
      <c r="O872" s="5"/>
      <c r="P872" s="5"/>
      <c r="Q872" s="5"/>
      <c r="R872" s="5"/>
      <c r="S872" s="5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</row>
    <row r="873">
      <c r="A873" s="31"/>
      <c r="B873" s="304"/>
      <c r="C873" s="5"/>
      <c r="D873" s="5"/>
      <c r="E873" s="4"/>
      <c r="F873" s="4"/>
      <c r="G873" s="4"/>
      <c r="H873" s="4"/>
      <c r="I873" s="5"/>
      <c r="J873" s="4"/>
      <c r="K873" s="4"/>
      <c r="L873" s="4"/>
      <c r="M873" s="4"/>
      <c r="N873" s="5"/>
      <c r="O873" s="5"/>
      <c r="P873" s="5"/>
      <c r="Q873" s="5"/>
      <c r="R873" s="5"/>
      <c r="S873" s="5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</row>
    <row r="874">
      <c r="A874" s="31"/>
      <c r="B874" s="304"/>
      <c r="C874" s="5"/>
      <c r="D874" s="5"/>
      <c r="E874" s="4"/>
      <c r="F874" s="4"/>
      <c r="G874" s="4"/>
      <c r="H874" s="4"/>
      <c r="I874" s="5"/>
      <c r="J874" s="4"/>
      <c r="K874" s="4"/>
      <c r="L874" s="4"/>
      <c r="M874" s="4"/>
      <c r="N874" s="5"/>
      <c r="O874" s="5"/>
      <c r="P874" s="5"/>
      <c r="Q874" s="5"/>
      <c r="R874" s="5"/>
      <c r="S874" s="5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</row>
    <row r="875">
      <c r="A875" s="31"/>
      <c r="B875" s="304"/>
      <c r="C875" s="5"/>
      <c r="D875" s="5"/>
      <c r="E875" s="4"/>
      <c r="F875" s="4"/>
      <c r="G875" s="4"/>
      <c r="H875" s="4"/>
      <c r="I875" s="5"/>
      <c r="J875" s="4"/>
      <c r="K875" s="4"/>
      <c r="L875" s="4"/>
      <c r="M875" s="4"/>
      <c r="N875" s="5"/>
      <c r="O875" s="5"/>
      <c r="P875" s="5"/>
      <c r="Q875" s="5"/>
      <c r="R875" s="5"/>
      <c r="S875" s="5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</row>
    <row r="876">
      <c r="A876" s="31"/>
      <c r="B876" s="304"/>
      <c r="C876" s="5"/>
      <c r="D876" s="5"/>
      <c r="E876" s="4"/>
      <c r="F876" s="4"/>
      <c r="G876" s="4"/>
      <c r="H876" s="4"/>
      <c r="I876" s="5"/>
      <c r="J876" s="4"/>
      <c r="K876" s="4"/>
      <c r="L876" s="4"/>
      <c r="M876" s="4"/>
      <c r="N876" s="5"/>
      <c r="O876" s="5"/>
      <c r="P876" s="5"/>
      <c r="Q876" s="5"/>
      <c r="R876" s="5"/>
      <c r="S876" s="5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</row>
    <row r="877">
      <c r="A877" s="31"/>
      <c r="B877" s="304"/>
      <c r="C877" s="5"/>
      <c r="D877" s="5"/>
      <c r="E877" s="4"/>
      <c r="F877" s="4"/>
      <c r="G877" s="4"/>
      <c r="H877" s="4"/>
      <c r="I877" s="5"/>
      <c r="J877" s="4"/>
      <c r="K877" s="4"/>
      <c r="L877" s="4"/>
      <c r="M877" s="4"/>
      <c r="N877" s="5"/>
      <c r="O877" s="5"/>
      <c r="P877" s="5"/>
      <c r="Q877" s="5"/>
      <c r="R877" s="5"/>
      <c r="S877" s="5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</row>
    <row r="878">
      <c r="A878" s="31"/>
      <c r="B878" s="304"/>
      <c r="C878" s="5"/>
      <c r="D878" s="5"/>
      <c r="E878" s="4"/>
      <c r="F878" s="4"/>
      <c r="G878" s="4"/>
      <c r="H878" s="4"/>
      <c r="I878" s="5"/>
      <c r="J878" s="4"/>
      <c r="K878" s="4"/>
      <c r="L878" s="4"/>
      <c r="M878" s="4"/>
      <c r="N878" s="5"/>
      <c r="O878" s="5"/>
      <c r="P878" s="5"/>
      <c r="Q878" s="5"/>
      <c r="R878" s="5"/>
      <c r="S878" s="5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</row>
    <row r="879">
      <c r="A879" s="31"/>
      <c r="B879" s="304"/>
      <c r="C879" s="5"/>
      <c r="D879" s="5"/>
      <c r="E879" s="4"/>
      <c r="F879" s="4"/>
      <c r="G879" s="4"/>
      <c r="H879" s="4"/>
      <c r="I879" s="5"/>
      <c r="J879" s="4"/>
      <c r="K879" s="4"/>
      <c r="L879" s="4"/>
      <c r="M879" s="4"/>
      <c r="N879" s="5"/>
      <c r="O879" s="5"/>
      <c r="P879" s="5"/>
      <c r="Q879" s="5"/>
      <c r="R879" s="5"/>
      <c r="S879" s="5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</row>
    <row r="880">
      <c r="A880" s="31"/>
      <c r="B880" s="304"/>
      <c r="C880" s="5"/>
      <c r="D880" s="5"/>
      <c r="E880" s="4"/>
      <c r="F880" s="4"/>
      <c r="G880" s="4"/>
      <c r="H880" s="4"/>
      <c r="I880" s="5"/>
      <c r="J880" s="4"/>
      <c r="K880" s="4"/>
      <c r="L880" s="4"/>
      <c r="M880" s="4"/>
      <c r="N880" s="5"/>
      <c r="O880" s="5"/>
      <c r="P880" s="5"/>
      <c r="Q880" s="5"/>
      <c r="R880" s="5"/>
      <c r="S880" s="5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</row>
    <row r="881">
      <c r="A881" s="31"/>
      <c r="B881" s="304"/>
      <c r="C881" s="5"/>
      <c r="D881" s="5"/>
      <c r="E881" s="4"/>
      <c r="F881" s="4"/>
      <c r="G881" s="4"/>
      <c r="H881" s="4"/>
      <c r="I881" s="5"/>
      <c r="J881" s="4"/>
      <c r="K881" s="4"/>
      <c r="L881" s="4"/>
      <c r="M881" s="4"/>
      <c r="N881" s="5"/>
      <c r="O881" s="5"/>
      <c r="P881" s="5"/>
      <c r="Q881" s="5"/>
      <c r="R881" s="5"/>
      <c r="S881" s="5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</row>
    <row r="882">
      <c r="A882" s="31"/>
      <c r="B882" s="304"/>
      <c r="C882" s="5"/>
      <c r="D882" s="5"/>
      <c r="E882" s="4"/>
      <c r="F882" s="4"/>
      <c r="G882" s="4"/>
      <c r="H882" s="4"/>
      <c r="I882" s="5"/>
      <c r="J882" s="4"/>
      <c r="K882" s="4"/>
      <c r="L882" s="4"/>
      <c r="M882" s="4"/>
      <c r="N882" s="5"/>
      <c r="O882" s="5"/>
      <c r="P882" s="5"/>
      <c r="Q882" s="5"/>
      <c r="R882" s="5"/>
      <c r="S882" s="5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</row>
    <row r="883">
      <c r="A883" s="31"/>
      <c r="B883" s="304"/>
      <c r="C883" s="5"/>
      <c r="D883" s="5"/>
      <c r="E883" s="4"/>
      <c r="F883" s="4"/>
      <c r="G883" s="4"/>
      <c r="H883" s="4"/>
      <c r="I883" s="5"/>
      <c r="J883" s="4"/>
      <c r="K883" s="4"/>
      <c r="L883" s="4"/>
      <c r="M883" s="4"/>
      <c r="N883" s="5"/>
      <c r="O883" s="5"/>
      <c r="P883" s="5"/>
      <c r="Q883" s="5"/>
      <c r="R883" s="5"/>
      <c r="S883" s="5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</row>
    <row r="884">
      <c r="A884" s="31"/>
      <c r="B884" s="304"/>
      <c r="C884" s="5"/>
      <c r="D884" s="5"/>
      <c r="E884" s="4"/>
      <c r="F884" s="4"/>
      <c r="G884" s="4"/>
      <c r="H884" s="4"/>
      <c r="I884" s="5"/>
      <c r="J884" s="4"/>
      <c r="K884" s="4"/>
      <c r="L884" s="4"/>
      <c r="M884" s="4"/>
      <c r="N884" s="5"/>
      <c r="O884" s="5"/>
      <c r="P884" s="5"/>
      <c r="Q884" s="5"/>
      <c r="R884" s="5"/>
      <c r="S884" s="5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</row>
    <row r="885">
      <c r="A885" s="31"/>
      <c r="B885" s="304"/>
      <c r="C885" s="5"/>
      <c r="D885" s="5"/>
      <c r="E885" s="4"/>
      <c r="F885" s="4"/>
      <c r="G885" s="4"/>
      <c r="H885" s="4"/>
      <c r="I885" s="5"/>
      <c r="J885" s="4"/>
      <c r="K885" s="4"/>
      <c r="L885" s="4"/>
      <c r="M885" s="4"/>
      <c r="N885" s="5"/>
      <c r="O885" s="5"/>
      <c r="P885" s="5"/>
      <c r="Q885" s="5"/>
      <c r="R885" s="5"/>
      <c r="S885" s="5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</row>
    <row r="886">
      <c r="A886" s="31"/>
      <c r="B886" s="304"/>
      <c r="C886" s="5"/>
      <c r="D886" s="5"/>
      <c r="E886" s="4"/>
      <c r="F886" s="4"/>
      <c r="G886" s="4"/>
      <c r="H886" s="4"/>
      <c r="I886" s="5"/>
      <c r="J886" s="4"/>
      <c r="K886" s="4"/>
      <c r="L886" s="4"/>
      <c r="M886" s="4"/>
      <c r="N886" s="5"/>
      <c r="O886" s="5"/>
      <c r="P886" s="5"/>
      <c r="Q886" s="5"/>
      <c r="R886" s="5"/>
      <c r="S886" s="5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</row>
    <row r="887">
      <c r="A887" s="31"/>
      <c r="B887" s="304"/>
      <c r="C887" s="5"/>
      <c r="D887" s="5"/>
      <c r="E887" s="4"/>
      <c r="F887" s="4"/>
      <c r="G887" s="4"/>
      <c r="H887" s="4"/>
      <c r="I887" s="5"/>
      <c r="J887" s="4"/>
      <c r="K887" s="4"/>
      <c r="L887" s="4"/>
      <c r="M887" s="4"/>
      <c r="N887" s="5"/>
      <c r="O887" s="5"/>
      <c r="P887" s="5"/>
      <c r="Q887" s="5"/>
      <c r="R887" s="5"/>
      <c r="S887" s="5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</row>
    <row r="888">
      <c r="A888" s="31"/>
      <c r="B888" s="304"/>
      <c r="C888" s="5"/>
      <c r="D888" s="5"/>
      <c r="E888" s="4"/>
      <c r="F888" s="4"/>
      <c r="G888" s="4"/>
      <c r="H888" s="4"/>
      <c r="I888" s="5"/>
      <c r="J888" s="4"/>
      <c r="K888" s="4"/>
      <c r="L888" s="4"/>
      <c r="M888" s="4"/>
      <c r="N888" s="5"/>
      <c r="O888" s="5"/>
      <c r="P888" s="5"/>
      <c r="Q888" s="5"/>
      <c r="R888" s="5"/>
      <c r="S888" s="5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</row>
    <row r="889">
      <c r="A889" s="31"/>
      <c r="B889" s="304"/>
      <c r="C889" s="5"/>
      <c r="D889" s="5"/>
      <c r="E889" s="4"/>
      <c r="F889" s="4"/>
      <c r="G889" s="4"/>
      <c r="H889" s="4"/>
      <c r="I889" s="5"/>
      <c r="J889" s="4"/>
      <c r="K889" s="4"/>
      <c r="L889" s="4"/>
      <c r="M889" s="4"/>
      <c r="N889" s="5"/>
      <c r="O889" s="5"/>
      <c r="P889" s="5"/>
      <c r="Q889" s="5"/>
      <c r="R889" s="5"/>
      <c r="S889" s="5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</row>
    <row r="890">
      <c r="A890" s="31"/>
      <c r="B890" s="304"/>
      <c r="C890" s="5"/>
      <c r="D890" s="5"/>
      <c r="E890" s="4"/>
      <c r="F890" s="4"/>
      <c r="G890" s="4"/>
      <c r="H890" s="4"/>
      <c r="I890" s="5"/>
      <c r="J890" s="4"/>
      <c r="K890" s="4"/>
      <c r="L890" s="4"/>
      <c r="M890" s="4"/>
      <c r="N890" s="5"/>
      <c r="O890" s="5"/>
      <c r="P890" s="5"/>
      <c r="Q890" s="5"/>
      <c r="R890" s="5"/>
      <c r="S890" s="5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</row>
    <row r="891">
      <c r="A891" s="31"/>
      <c r="B891" s="304"/>
      <c r="C891" s="5"/>
      <c r="D891" s="5"/>
      <c r="E891" s="4"/>
      <c r="F891" s="4"/>
      <c r="G891" s="4"/>
      <c r="H891" s="4"/>
      <c r="I891" s="5"/>
      <c r="J891" s="4"/>
      <c r="K891" s="4"/>
      <c r="L891" s="4"/>
      <c r="M891" s="4"/>
      <c r="N891" s="5"/>
      <c r="O891" s="5"/>
      <c r="P891" s="5"/>
      <c r="Q891" s="5"/>
      <c r="R891" s="5"/>
      <c r="S891" s="5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</row>
    <row r="892">
      <c r="A892" s="31"/>
      <c r="B892" s="304"/>
      <c r="C892" s="5"/>
      <c r="D892" s="5"/>
      <c r="E892" s="4"/>
      <c r="F892" s="4"/>
      <c r="G892" s="4"/>
      <c r="H892" s="4"/>
      <c r="I892" s="5"/>
      <c r="J892" s="4"/>
      <c r="K892" s="4"/>
      <c r="L892" s="4"/>
      <c r="M892" s="4"/>
      <c r="N892" s="5"/>
      <c r="O892" s="5"/>
      <c r="P892" s="5"/>
      <c r="Q892" s="5"/>
      <c r="R892" s="5"/>
      <c r="S892" s="5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</row>
    <row r="893">
      <c r="A893" s="31"/>
      <c r="B893" s="304"/>
      <c r="C893" s="5"/>
      <c r="D893" s="5"/>
      <c r="E893" s="4"/>
      <c r="F893" s="4"/>
      <c r="G893" s="4"/>
      <c r="H893" s="4"/>
      <c r="I893" s="5"/>
      <c r="J893" s="4"/>
      <c r="K893" s="4"/>
      <c r="L893" s="4"/>
      <c r="M893" s="4"/>
      <c r="N893" s="5"/>
      <c r="O893" s="5"/>
      <c r="P893" s="5"/>
      <c r="Q893" s="5"/>
      <c r="R893" s="5"/>
      <c r="S893" s="5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</row>
    <row r="894">
      <c r="A894" s="31"/>
      <c r="B894" s="304"/>
      <c r="C894" s="5"/>
      <c r="D894" s="5"/>
      <c r="E894" s="4"/>
      <c r="F894" s="4"/>
      <c r="G894" s="4"/>
      <c r="H894" s="4"/>
      <c r="I894" s="5"/>
      <c r="J894" s="4"/>
      <c r="K894" s="4"/>
      <c r="L894" s="4"/>
      <c r="M894" s="4"/>
      <c r="N894" s="5"/>
      <c r="O894" s="5"/>
      <c r="P894" s="5"/>
      <c r="Q894" s="5"/>
      <c r="R894" s="5"/>
      <c r="S894" s="5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</row>
    <row r="895">
      <c r="A895" s="31"/>
      <c r="B895" s="304"/>
      <c r="C895" s="5"/>
      <c r="D895" s="5"/>
      <c r="E895" s="4"/>
      <c r="F895" s="4"/>
      <c r="G895" s="4"/>
      <c r="H895" s="4"/>
      <c r="I895" s="5"/>
      <c r="J895" s="4"/>
      <c r="K895" s="4"/>
      <c r="L895" s="4"/>
      <c r="M895" s="4"/>
      <c r="N895" s="5"/>
      <c r="O895" s="5"/>
      <c r="P895" s="5"/>
      <c r="Q895" s="5"/>
      <c r="R895" s="5"/>
      <c r="S895" s="5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</row>
    <row r="896">
      <c r="A896" s="31"/>
      <c r="B896" s="304"/>
      <c r="C896" s="5"/>
      <c r="D896" s="5"/>
      <c r="E896" s="4"/>
      <c r="F896" s="4"/>
      <c r="G896" s="4"/>
      <c r="H896" s="4"/>
      <c r="I896" s="5"/>
      <c r="J896" s="4"/>
      <c r="K896" s="4"/>
      <c r="L896" s="4"/>
      <c r="M896" s="4"/>
      <c r="N896" s="5"/>
      <c r="O896" s="5"/>
      <c r="P896" s="5"/>
      <c r="Q896" s="5"/>
      <c r="R896" s="5"/>
      <c r="S896" s="5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</row>
    <row r="897">
      <c r="A897" s="31"/>
      <c r="B897" s="304"/>
      <c r="C897" s="5"/>
      <c r="D897" s="5"/>
      <c r="E897" s="4"/>
      <c r="F897" s="4"/>
      <c r="G897" s="4"/>
      <c r="H897" s="4"/>
      <c r="I897" s="5"/>
      <c r="J897" s="4"/>
      <c r="K897" s="4"/>
      <c r="L897" s="4"/>
      <c r="M897" s="4"/>
      <c r="N897" s="5"/>
      <c r="O897" s="5"/>
      <c r="P897" s="5"/>
      <c r="Q897" s="5"/>
      <c r="R897" s="5"/>
      <c r="S897" s="5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</row>
    <row r="898">
      <c r="A898" s="31"/>
      <c r="B898" s="304"/>
      <c r="C898" s="5"/>
      <c r="D898" s="5"/>
      <c r="E898" s="4"/>
      <c r="F898" s="4"/>
      <c r="G898" s="4"/>
      <c r="H898" s="4"/>
      <c r="I898" s="5"/>
      <c r="J898" s="4"/>
      <c r="K898" s="4"/>
      <c r="L898" s="4"/>
      <c r="M898" s="4"/>
      <c r="N898" s="5"/>
      <c r="O898" s="5"/>
      <c r="P898" s="5"/>
      <c r="Q898" s="5"/>
      <c r="R898" s="5"/>
      <c r="S898" s="5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</row>
    <row r="899">
      <c r="A899" s="31"/>
      <c r="B899" s="304"/>
      <c r="C899" s="5"/>
      <c r="D899" s="5"/>
      <c r="E899" s="4"/>
      <c r="F899" s="4"/>
      <c r="G899" s="4"/>
      <c r="H899" s="4"/>
      <c r="I899" s="5"/>
      <c r="J899" s="4"/>
      <c r="K899" s="4"/>
      <c r="L899" s="4"/>
      <c r="M899" s="4"/>
      <c r="N899" s="5"/>
      <c r="O899" s="5"/>
      <c r="P899" s="5"/>
      <c r="Q899" s="5"/>
      <c r="R899" s="5"/>
      <c r="S899" s="5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</row>
    <row r="900">
      <c r="A900" s="31"/>
      <c r="B900" s="304"/>
      <c r="C900" s="5"/>
      <c r="D900" s="5"/>
      <c r="E900" s="4"/>
      <c r="F900" s="4"/>
      <c r="G900" s="4"/>
      <c r="H900" s="4"/>
      <c r="I900" s="5"/>
      <c r="J900" s="4"/>
      <c r="K900" s="4"/>
      <c r="L900" s="4"/>
      <c r="M900" s="4"/>
      <c r="N900" s="5"/>
      <c r="O900" s="5"/>
      <c r="P900" s="5"/>
      <c r="Q900" s="5"/>
      <c r="R900" s="5"/>
      <c r="S900" s="5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</row>
    <row r="901">
      <c r="A901" s="31"/>
      <c r="B901" s="304"/>
      <c r="C901" s="5"/>
      <c r="D901" s="5"/>
      <c r="E901" s="4"/>
      <c r="F901" s="4"/>
      <c r="G901" s="4"/>
      <c r="H901" s="4"/>
      <c r="I901" s="5"/>
      <c r="J901" s="4"/>
      <c r="K901" s="4"/>
      <c r="L901" s="4"/>
      <c r="M901" s="4"/>
      <c r="N901" s="5"/>
      <c r="O901" s="5"/>
      <c r="P901" s="5"/>
      <c r="Q901" s="5"/>
      <c r="R901" s="5"/>
      <c r="S901" s="5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</row>
    <row r="902">
      <c r="A902" s="31"/>
      <c r="B902" s="304"/>
      <c r="C902" s="5"/>
      <c r="D902" s="5"/>
      <c r="E902" s="4"/>
      <c r="F902" s="4"/>
      <c r="G902" s="4"/>
      <c r="H902" s="4"/>
      <c r="I902" s="5"/>
      <c r="J902" s="4"/>
      <c r="K902" s="4"/>
      <c r="L902" s="4"/>
      <c r="M902" s="4"/>
      <c r="N902" s="5"/>
      <c r="O902" s="5"/>
      <c r="P902" s="5"/>
      <c r="Q902" s="5"/>
      <c r="R902" s="5"/>
      <c r="S902" s="5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</row>
    <row r="903">
      <c r="A903" s="31"/>
      <c r="B903" s="304"/>
      <c r="C903" s="5"/>
      <c r="D903" s="5"/>
      <c r="E903" s="4"/>
      <c r="F903" s="4"/>
      <c r="G903" s="4"/>
      <c r="H903" s="4"/>
      <c r="I903" s="5"/>
      <c r="J903" s="4"/>
      <c r="K903" s="4"/>
      <c r="L903" s="4"/>
      <c r="M903" s="4"/>
      <c r="N903" s="5"/>
      <c r="O903" s="5"/>
      <c r="P903" s="5"/>
      <c r="Q903" s="5"/>
      <c r="R903" s="5"/>
      <c r="S903" s="5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</row>
    <row r="904">
      <c r="A904" s="31"/>
      <c r="B904" s="304"/>
      <c r="C904" s="5"/>
      <c r="D904" s="5"/>
      <c r="E904" s="4"/>
      <c r="F904" s="4"/>
      <c r="G904" s="4"/>
      <c r="H904" s="4"/>
      <c r="I904" s="5"/>
      <c r="J904" s="4"/>
      <c r="K904" s="4"/>
      <c r="L904" s="4"/>
      <c r="M904" s="4"/>
      <c r="N904" s="5"/>
      <c r="O904" s="5"/>
      <c r="P904" s="5"/>
      <c r="Q904" s="5"/>
      <c r="R904" s="5"/>
      <c r="S904" s="5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</row>
    <row r="905">
      <c r="A905" s="31"/>
      <c r="B905" s="304"/>
      <c r="C905" s="5"/>
      <c r="D905" s="5"/>
      <c r="E905" s="4"/>
      <c r="F905" s="4"/>
      <c r="G905" s="4"/>
      <c r="H905" s="4"/>
      <c r="I905" s="5"/>
      <c r="J905" s="4"/>
      <c r="K905" s="4"/>
      <c r="L905" s="4"/>
      <c r="M905" s="4"/>
      <c r="N905" s="5"/>
      <c r="O905" s="5"/>
      <c r="P905" s="5"/>
      <c r="Q905" s="5"/>
      <c r="R905" s="5"/>
      <c r="S905" s="5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</row>
    <row r="906">
      <c r="A906" s="31"/>
      <c r="B906" s="304"/>
      <c r="C906" s="5"/>
      <c r="D906" s="5"/>
      <c r="E906" s="4"/>
      <c r="F906" s="4"/>
      <c r="G906" s="4"/>
      <c r="H906" s="4"/>
      <c r="I906" s="5"/>
      <c r="J906" s="4"/>
      <c r="K906" s="4"/>
      <c r="L906" s="4"/>
      <c r="M906" s="4"/>
      <c r="N906" s="5"/>
      <c r="O906" s="5"/>
      <c r="P906" s="5"/>
      <c r="Q906" s="5"/>
      <c r="R906" s="5"/>
      <c r="S906" s="5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</row>
    <row r="907">
      <c r="A907" s="31"/>
      <c r="B907" s="304"/>
      <c r="C907" s="5"/>
      <c r="D907" s="5"/>
      <c r="E907" s="4"/>
      <c r="F907" s="4"/>
      <c r="G907" s="4"/>
      <c r="H907" s="4"/>
      <c r="I907" s="5"/>
      <c r="J907" s="4"/>
      <c r="K907" s="4"/>
      <c r="L907" s="4"/>
      <c r="M907" s="4"/>
      <c r="N907" s="5"/>
      <c r="O907" s="5"/>
      <c r="P907" s="5"/>
      <c r="Q907" s="5"/>
      <c r="R907" s="5"/>
      <c r="S907" s="5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</row>
    <row r="908">
      <c r="A908" s="31"/>
      <c r="B908" s="304"/>
      <c r="C908" s="5"/>
      <c r="D908" s="5"/>
      <c r="E908" s="4"/>
      <c r="F908" s="4"/>
      <c r="G908" s="4"/>
      <c r="H908" s="4"/>
      <c r="I908" s="5"/>
      <c r="J908" s="4"/>
      <c r="K908" s="4"/>
      <c r="L908" s="4"/>
      <c r="M908" s="4"/>
      <c r="N908" s="5"/>
      <c r="O908" s="5"/>
      <c r="P908" s="5"/>
      <c r="Q908" s="5"/>
      <c r="R908" s="5"/>
      <c r="S908" s="5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</row>
    <row r="909">
      <c r="A909" s="31"/>
      <c r="B909" s="304"/>
      <c r="C909" s="5"/>
      <c r="D909" s="5"/>
      <c r="E909" s="4"/>
      <c r="F909" s="4"/>
      <c r="G909" s="4"/>
      <c r="H909" s="4"/>
      <c r="I909" s="5"/>
      <c r="J909" s="4"/>
      <c r="K909" s="4"/>
      <c r="L909" s="4"/>
      <c r="M909" s="4"/>
      <c r="N909" s="5"/>
      <c r="O909" s="5"/>
      <c r="P909" s="5"/>
      <c r="Q909" s="5"/>
      <c r="R909" s="5"/>
      <c r="S909" s="5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</row>
    <row r="910">
      <c r="A910" s="31"/>
      <c r="B910" s="304"/>
      <c r="C910" s="5"/>
      <c r="D910" s="5"/>
      <c r="E910" s="4"/>
      <c r="F910" s="4"/>
      <c r="G910" s="4"/>
      <c r="H910" s="4"/>
      <c r="I910" s="5"/>
      <c r="J910" s="4"/>
      <c r="K910" s="4"/>
      <c r="L910" s="4"/>
      <c r="M910" s="4"/>
      <c r="N910" s="5"/>
      <c r="O910" s="5"/>
      <c r="P910" s="5"/>
      <c r="Q910" s="5"/>
      <c r="R910" s="5"/>
      <c r="S910" s="5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</row>
    <row r="911">
      <c r="A911" s="31"/>
      <c r="B911" s="304"/>
      <c r="C911" s="5"/>
      <c r="D911" s="5"/>
      <c r="E911" s="4"/>
      <c r="F911" s="4"/>
      <c r="G911" s="4"/>
      <c r="H911" s="4"/>
      <c r="I911" s="5"/>
      <c r="J911" s="4"/>
      <c r="K911" s="4"/>
      <c r="L911" s="4"/>
      <c r="M911" s="4"/>
      <c r="N911" s="5"/>
      <c r="O911" s="5"/>
      <c r="P911" s="5"/>
      <c r="Q911" s="5"/>
      <c r="R911" s="5"/>
      <c r="S911" s="5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</row>
    <row r="912">
      <c r="A912" s="31"/>
      <c r="B912" s="304"/>
      <c r="C912" s="5"/>
      <c r="D912" s="5"/>
      <c r="E912" s="4"/>
      <c r="F912" s="4"/>
      <c r="G912" s="4"/>
      <c r="H912" s="4"/>
      <c r="I912" s="5"/>
      <c r="J912" s="4"/>
      <c r="K912" s="4"/>
      <c r="L912" s="4"/>
      <c r="M912" s="4"/>
      <c r="N912" s="5"/>
      <c r="O912" s="5"/>
      <c r="P912" s="5"/>
      <c r="Q912" s="5"/>
      <c r="R912" s="5"/>
      <c r="S912" s="5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</row>
    <row r="913">
      <c r="A913" s="31"/>
      <c r="B913" s="304"/>
      <c r="C913" s="5"/>
      <c r="D913" s="5"/>
      <c r="E913" s="4"/>
      <c r="F913" s="4"/>
      <c r="G913" s="4"/>
      <c r="H913" s="4"/>
      <c r="I913" s="5"/>
      <c r="J913" s="4"/>
      <c r="K913" s="4"/>
      <c r="L913" s="4"/>
      <c r="M913" s="4"/>
      <c r="N913" s="5"/>
      <c r="O913" s="5"/>
      <c r="P913" s="5"/>
      <c r="Q913" s="5"/>
      <c r="R913" s="5"/>
      <c r="S913" s="5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</row>
    <row r="914">
      <c r="A914" s="31"/>
      <c r="B914" s="304"/>
      <c r="C914" s="5"/>
      <c r="D914" s="5"/>
      <c r="E914" s="4"/>
      <c r="F914" s="4"/>
      <c r="G914" s="4"/>
      <c r="H914" s="4"/>
      <c r="I914" s="5"/>
      <c r="J914" s="4"/>
      <c r="K914" s="4"/>
      <c r="L914" s="4"/>
      <c r="M914" s="4"/>
      <c r="N914" s="5"/>
      <c r="O914" s="5"/>
      <c r="P914" s="5"/>
      <c r="Q914" s="5"/>
      <c r="R914" s="5"/>
      <c r="S914" s="5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</row>
    <row r="915">
      <c r="A915" s="31"/>
      <c r="B915" s="304"/>
      <c r="C915" s="5"/>
      <c r="D915" s="5"/>
      <c r="E915" s="4"/>
      <c r="F915" s="4"/>
      <c r="G915" s="4"/>
      <c r="H915" s="4"/>
      <c r="I915" s="5"/>
      <c r="J915" s="4"/>
      <c r="K915" s="4"/>
      <c r="L915" s="4"/>
      <c r="M915" s="4"/>
      <c r="N915" s="5"/>
      <c r="O915" s="5"/>
      <c r="P915" s="5"/>
      <c r="Q915" s="5"/>
      <c r="R915" s="5"/>
      <c r="S915" s="5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</row>
    <row r="916">
      <c r="A916" s="31"/>
      <c r="B916" s="304"/>
      <c r="C916" s="5"/>
      <c r="D916" s="5"/>
      <c r="E916" s="4"/>
      <c r="F916" s="4"/>
      <c r="G916" s="4"/>
      <c r="H916" s="4"/>
      <c r="I916" s="5"/>
      <c r="J916" s="4"/>
      <c r="K916" s="4"/>
      <c r="L916" s="4"/>
      <c r="M916" s="4"/>
      <c r="N916" s="5"/>
      <c r="O916" s="5"/>
      <c r="P916" s="5"/>
      <c r="Q916" s="5"/>
      <c r="R916" s="5"/>
      <c r="S916" s="5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</row>
    <row r="917">
      <c r="A917" s="31"/>
      <c r="B917" s="304"/>
      <c r="C917" s="5"/>
      <c r="D917" s="5"/>
      <c r="E917" s="4"/>
      <c r="F917" s="4"/>
      <c r="G917" s="4"/>
      <c r="H917" s="4"/>
      <c r="I917" s="5"/>
      <c r="J917" s="4"/>
      <c r="K917" s="4"/>
      <c r="L917" s="4"/>
      <c r="M917" s="4"/>
      <c r="N917" s="5"/>
      <c r="O917" s="5"/>
      <c r="P917" s="5"/>
      <c r="Q917" s="5"/>
      <c r="R917" s="5"/>
      <c r="S917" s="5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</row>
    <row r="918">
      <c r="A918" s="31"/>
      <c r="B918" s="304"/>
      <c r="C918" s="5"/>
      <c r="D918" s="5"/>
      <c r="E918" s="4"/>
      <c r="F918" s="4"/>
      <c r="G918" s="4"/>
      <c r="H918" s="4"/>
      <c r="I918" s="5"/>
      <c r="J918" s="4"/>
      <c r="K918" s="4"/>
      <c r="L918" s="4"/>
      <c r="M918" s="4"/>
      <c r="N918" s="5"/>
      <c r="O918" s="5"/>
      <c r="P918" s="5"/>
      <c r="Q918" s="5"/>
      <c r="R918" s="5"/>
      <c r="S918" s="5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</row>
    <row r="919">
      <c r="A919" s="31"/>
      <c r="B919" s="304"/>
      <c r="C919" s="5"/>
      <c r="D919" s="5"/>
      <c r="E919" s="4"/>
      <c r="F919" s="4"/>
      <c r="G919" s="4"/>
      <c r="H919" s="4"/>
      <c r="I919" s="5"/>
      <c r="J919" s="4"/>
      <c r="K919" s="4"/>
      <c r="L919" s="4"/>
      <c r="M919" s="4"/>
      <c r="N919" s="5"/>
      <c r="O919" s="5"/>
      <c r="P919" s="5"/>
      <c r="Q919" s="5"/>
      <c r="R919" s="5"/>
      <c r="S919" s="5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</row>
    <row r="920">
      <c r="A920" s="31"/>
      <c r="B920" s="304"/>
      <c r="C920" s="5"/>
      <c r="D920" s="5"/>
      <c r="E920" s="4"/>
      <c r="F920" s="4"/>
      <c r="G920" s="4"/>
      <c r="H920" s="4"/>
      <c r="I920" s="5"/>
      <c r="J920" s="4"/>
      <c r="K920" s="4"/>
      <c r="L920" s="4"/>
      <c r="M920" s="4"/>
      <c r="N920" s="5"/>
      <c r="O920" s="5"/>
      <c r="P920" s="5"/>
      <c r="Q920" s="5"/>
      <c r="R920" s="5"/>
      <c r="S920" s="5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</row>
    <row r="921">
      <c r="A921" s="31"/>
      <c r="B921" s="304"/>
      <c r="C921" s="5"/>
      <c r="D921" s="5"/>
      <c r="E921" s="4"/>
      <c r="F921" s="4"/>
      <c r="G921" s="4"/>
      <c r="H921" s="4"/>
      <c r="I921" s="5"/>
      <c r="J921" s="4"/>
      <c r="K921" s="4"/>
      <c r="L921" s="4"/>
      <c r="M921" s="4"/>
      <c r="N921" s="5"/>
      <c r="O921" s="5"/>
      <c r="P921" s="5"/>
      <c r="Q921" s="5"/>
      <c r="R921" s="5"/>
      <c r="S921" s="5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</row>
    <row r="922">
      <c r="A922" s="31"/>
      <c r="B922" s="304"/>
      <c r="C922" s="5"/>
      <c r="D922" s="5"/>
      <c r="E922" s="4"/>
      <c r="F922" s="4"/>
      <c r="G922" s="4"/>
      <c r="H922" s="4"/>
      <c r="I922" s="5"/>
      <c r="J922" s="4"/>
      <c r="K922" s="4"/>
      <c r="L922" s="4"/>
      <c r="M922" s="4"/>
      <c r="N922" s="5"/>
      <c r="O922" s="5"/>
      <c r="P922" s="5"/>
      <c r="Q922" s="5"/>
      <c r="R922" s="5"/>
      <c r="S922" s="5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</row>
    <row r="923">
      <c r="A923" s="31"/>
      <c r="B923" s="304"/>
      <c r="C923" s="5"/>
      <c r="D923" s="5"/>
      <c r="E923" s="4"/>
      <c r="F923" s="4"/>
      <c r="G923" s="4"/>
      <c r="H923" s="4"/>
      <c r="I923" s="5"/>
      <c r="J923" s="4"/>
      <c r="K923" s="4"/>
      <c r="L923" s="4"/>
      <c r="M923" s="4"/>
      <c r="N923" s="5"/>
      <c r="O923" s="5"/>
      <c r="P923" s="5"/>
      <c r="Q923" s="5"/>
      <c r="R923" s="5"/>
      <c r="S923" s="5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</row>
    <row r="924">
      <c r="A924" s="31"/>
      <c r="B924" s="304"/>
      <c r="C924" s="5"/>
      <c r="D924" s="5"/>
      <c r="E924" s="4"/>
      <c r="F924" s="4"/>
      <c r="G924" s="4"/>
      <c r="H924" s="4"/>
      <c r="I924" s="5"/>
      <c r="J924" s="4"/>
      <c r="K924" s="4"/>
      <c r="L924" s="4"/>
      <c r="M924" s="4"/>
      <c r="N924" s="5"/>
      <c r="O924" s="5"/>
      <c r="P924" s="5"/>
      <c r="Q924" s="5"/>
      <c r="R924" s="5"/>
      <c r="S924" s="5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</row>
    <row r="925">
      <c r="A925" s="31"/>
      <c r="B925" s="304"/>
      <c r="C925" s="5"/>
      <c r="D925" s="5"/>
      <c r="E925" s="4"/>
      <c r="F925" s="4"/>
      <c r="G925" s="4"/>
      <c r="H925" s="4"/>
      <c r="I925" s="5"/>
      <c r="J925" s="4"/>
      <c r="K925" s="4"/>
      <c r="L925" s="4"/>
      <c r="M925" s="4"/>
      <c r="N925" s="5"/>
      <c r="O925" s="5"/>
      <c r="P925" s="5"/>
      <c r="Q925" s="5"/>
      <c r="R925" s="5"/>
      <c r="S925" s="5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</row>
    <row r="926">
      <c r="A926" s="31"/>
      <c r="B926" s="304"/>
      <c r="C926" s="5"/>
      <c r="D926" s="5"/>
      <c r="E926" s="4"/>
      <c r="F926" s="4"/>
      <c r="G926" s="4"/>
      <c r="H926" s="4"/>
      <c r="I926" s="5"/>
      <c r="J926" s="4"/>
      <c r="K926" s="4"/>
      <c r="L926" s="4"/>
      <c r="M926" s="4"/>
      <c r="N926" s="5"/>
      <c r="O926" s="5"/>
      <c r="P926" s="5"/>
      <c r="Q926" s="5"/>
      <c r="R926" s="5"/>
      <c r="S926" s="5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</row>
    <row r="927">
      <c r="A927" s="31"/>
      <c r="B927" s="304"/>
      <c r="C927" s="5"/>
      <c r="D927" s="5"/>
      <c r="E927" s="4"/>
      <c r="F927" s="4"/>
      <c r="G927" s="4"/>
      <c r="H927" s="4"/>
      <c r="I927" s="5"/>
      <c r="J927" s="4"/>
      <c r="K927" s="4"/>
      <c r="L927" s="4"/>
      <c r="M927" s="4"/>
      <c r="N927" s="5"/>
      <c r="O927" s="5"/>
      <c r="P927" s="5"/>
      <c r="Q927" s="5"/>
      <c r="R927" s="5"/>
      <c r="S927" s="5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</row>
    <row r="928">
      <c r="A928" s="31"/>
      <c r="B928" s="304"/>
      <c r="C928" s="5"/>
      <c r="D928" s="5"/>
      <c r="E928" s="4"/>
      <c r="F928" s="4"/>
      <c r="G928" s="4"/>
      <c r="H928" s="4"/>
      <c r="I928" s="5"/>
      <c r="J928" s="4"/>
      <c r="K928" s="4"/>
      <c r="L928" s="4"/>
      <c r="M928" s="4"/>
      <c r="N928" s="5"/>
      <c r="O928" s="5"/>
      <c r="P928" s="5"/>
      <c r="Q928" s="5"/>
      <c r="R928" s="5"/>
      <c r="S928" s="5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</row>
    <row r="929">
      <c r="A929" s="31"/>
      <c r="B929" s="304"/>
      <c r="C929" s="5"/>
      <c r="D929" s="5"/>
      <c r="E929" s="4"/>
      <c r="F929" s="4"/>
      <c r="G929" s="4"/>
      <c r="H929" s="4"/>
      <c r="I929" s="5"/>
      <c r="J929" s="4"/>
      <c r="K929" s="4"/>
      <c r="L929" s="4"/>
      <c r="M929" s="4"/>
      <c r="N929" s="5"/>
      <c r="O929" s="5"/>
      <c r="P929" s="5"/>
      <c r="Q929" s="5"/>
      <c r="R929" s="5"/>
      <c r="S929" s="5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</row>
    <row r="930">
      <c r="A930" s="31"/>
      <c r="B930" s="304"/>
      <c r="C930" s="5"/>
      <c r="D930" s="5"/>
      <c r="E930" s="4"/>
      <c r="F930" s="4"/>
      <c r="G930" s="4"/>
      <c r="H930" s="4"/>
      <c r="I930" s="5"/>
      <c r="J930" s="4"/>
      <c r="K930" s="4"/>
      <c r="L930" s="4"/>
      <c r="M930" s="4"/>
      <c r="N930" s="5"/>
      <c r="O930" s="5"/>
      <c r="P930" s="5"/>
      <c r="Q930" s="5"/>
      <c r="R930" s="5"/>
      <c r="S930" s="5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</row>
    <row r="931">
      <c r="A931" s="31"/>
      <c r="B931" s="304"/>
      <c r="C931" s="5"/>
      <c r="D931" s="5"/>
      <c r="E931" s="4"/>
      <c r="F931" s="4"/>
      <c r="G931" s="4"/>
      <c r="H931" s="4"/>
      <c r="I931" s="5"/>
      <c r="J931" s="4"/>
      <c r="K931" s="4"/>
      <c r="L931" s="4"/>
      <c r="M931" s="4"/>
      <c r="N931" s="5"/>
      <c r="O931" s="5"/>
      <c r="P931" s="5"/>
      <c r="Q931" s="5"/>
      <c r="R931" s="5"/>
      <c r="S931" s="5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</row>
    <row r="932">
      <c r="A932" s="31"/>
      <c r="B932" s="304"/>
      <c r="C932" s="5"/>
      <c r="D932" s="5"/>
      <c r="E932" s="4"/>
      <c r="F932" s="4"/>
      <c r="G932" s="4"/>
      <c r="H932" s="4"/>
      <c r="I932" s="5"/>
      <c r="J932" s="4"/>
      <c r="K932" s="4"/>
      <c r="L932" s="4"/>
      <c r="M932" s="4"/>
      <c r="N932" s="5"/>
      <c r="O932" s="5"/>
      <c r="P932" s="5"/>
      <c r="Q932" s="5"/>
      <c r="R932" s="5"/>
      <c r="S932" s="5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</row>
    <row r="933">
      <c r="A933" s="31"/>
      <c r="B933" s="304"/>
      <c r="C933" s="5"/>
      <c r="D933" s="5"/>
      <c r="E933" s="4"/>
      <c r="F933" s="4"/>
      <c r="G933" s="4"/>
      <c r="H933" s="4"/>
      <c r="I933" s="5"/>
      <c r="J933" s="4"/>
      <c r="K933" s="4"/>
      <c r="L933" s="4"/>
      <c r="M933" s="4"/>
      <c r="N933" s="5"/>
      <c r="O933" s="5"/>
      <c r="P933" s="5"/>
      <c r="Q933" s="5"/>
      <c r="R933" s="5"/>
      <c r="S933" s="5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</row>
    <row r="934">
      <c r="A934" s="31"/>
      <c r="B934" s="304"/>
      <c r="C934" s="5"/>
      <c r="D934" s="5"/>
      <c r="E934" s="4"/>
      <c r="F934" s="4"/>
      <c r="G934" s="4"/>
      <c r="H934" s="4"/>
      <c r="I934" s="5"/>
      <c r="J934" s="4"/>
      <c r="K934" s="4"/>
      <c r="L934" s="4"/>
      <c r="M934" s="4"/>
      <c r="N934" s="5"/>
      <c r="O934" s="5"/>
      <c r="P934" s="5"/>
      <c r="Q934" s="5"/>
      <c r="R934" s="5"/>
      <c r="S934" s="5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</row>
    <row r="935">
      <c r="A935" s="31"/>
      <c r="B935" s="304"/>
      <c r="C935" s="5"/>
      <c r="D935" s="5"/>
      <c r="E935" s="4"/>
      <c r="F935" s="4"/>
      <c r="G935" s="4"/>
      <c r="H935" s="4"/>
      <c r="I935" s="5"/>
      <c r="J935" s="4"/>
      <c r="K935" s="4"/>
      <c r="L935" s="4"/>
      <c r="M935" s="4"/>
      <c r="N935" s="5"/>
      <c r="O935" s="5"/>
      <c r="P935" s="5"/>
      <c r="Q935" s="5"/>
      <c r="R935" s="5"/>
      <c r="S935" s="5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</row>
    <row r="936">
      <c r="A936" s="31"/>
      <c r="B936" s="304"/>
      <c r="C936" s="5"/>
      <c r="D936" s="5"/>
      <c r="E936" s="4"/>
      <c r="F936" s="4"/>
      <c r="G936" s="4"/>
      <c r="H936" s="4"/>
      <c r="I936" s="5"/>
      <c r="J936" s="4"/>
      <c r="K936" s="4"/>
      <c r="L936" s="4"/>
      <c r="M936" s="4"/>
      <c r="N936" s="5"/>
      <c r="O936" s="5"/>
      <c r="P936" s="5"/>
      <c r="Q936" s="5"/>
      <c r="R936" s="5"/>
      <c r="S936" s="5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</row>
    <row r="937">
      <c r="A937" s="31"/>
      <c r="B937" s="304"/>
      <c r="C937" s="5"/>
      <c r="D937" s="5"/>
      <c r="E937" s="4"/>
      <c r="F937" s="4"/>
      <c r="G937" s="4"/>
      <c r="H937" s="4"/>
      <c r="I937" s="5"/>
      <c r="J937" s="4"/>
      <c r="K937" s="4"/>
      <c r="L937" s="4"/>
      <c r="M937" s="4"/>
      <c r="N937" s="5"/>
      <c r="O937" s="5"/>
      <c r="P937" s="5"/>
      <c r="Q937" s="5"/>
      <c r="R937" s="5"/>
      <c r="S937" s="5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</row>
    <row r="938">
      <c r="A938" s="31"/>
      <c r="B938" s="304"/>
      <c r="C938" s="5"/>
      <c r="D938" s="5"/>
      <c r="E938" s="4"/>
      <c r="F938" s="4"/>
      <c r="G938" s="4"/>
      <c r="H938" s="4"/>
      <c r="I938" s="5"/>
      <c r="J938" s="4"/>
      <c r="K938" s="4"/>
      <c r="L938" s="4"/>
      <c r="M938" s="4"/>
      <c r="N938" s="5"/>
      <c r="O938" s="5"/>
      <c r="P938" s="5"/>
      <c r="Q938" s="5"/>
      <c r="R938" s="5"/>
      <c r="S938" s="5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</row>
    <row r="939">
      <c r="A939" s="31"/>
      <c r="B939" s="304"/>
      <c r="C939" s="5"/>
      <c r="D939" s="5"/>
      <c r="E939" s="4"/>
      <c r="F939" s="4"/>
      <c r="G939" s="4"/>
      <c r="H939" s="4"/>
      <c r="I939" s="5"/>
      <c r="J939" s="4"/>
      <c r="K939" s="4"/>
      <c r="L939" s="4"/>
      <c r="M939" s="4"/>
      <c r="N939" s="5"/>
      <c r="O939" s="5"/>
      <c r="P939" s="5"/>
      <c r="Q939" s="5"/>
      <c r="R939" s="5"/>
      <c r="S939" s="5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</row>
    <row r="940">
      <c r="A940" s="31"/>
      <c r="B940" s="304"/>
      <c r="C940" s="5"/>
      <c r="D940" s="5"/>
      <c r="E940" s="4"/>
      <c r="F940" s="4"/>
      <c r="G940" s="4"/>
      <c r="H940" s="4"/>
      <c r="I940" s="5"/>
      <c r="J940" s="4"/>
      <c r="K940" s="4"/>
      <c r="L940" s="4"/>
      <c r="M940" s="4"/>
      <c r="N940" s="5"/>
      <c r="O940" s="5"/>
      <c r="P940" s="5"/>
      <c r="Q940" s="5"/>
      <c r="R940" s="5"/>
      <c r="S940" s="5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</row>
    <row r="941">
      <c r="A941" s="31"/>
      <c r="B941" s="304"/>
      <c r="C941" s="5"/>
      <c r="D941" s="5"/>
      <c r="E941" s="4"/>
      <c r="F941" s="4"/>
      <c r="G941" s="4"/>
      <c r="H941" s="4"/>
      <c r="I941" s="5"/>
      <c r="J941" s="4"/>
      <c r="K941" s="4"/>
      <c r="L941" s="4"/>
      <c r="M941" s="4"/>
      <c r="N941" s="5"/>
      <c r="O941" s="5"/>
      <c r="P941" s="5"/>
      <c r="Q941" s="5"/>
      <c r="R941" s="5"/>
      <c r="S941" s="5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</row>
    <row r="942">
      <c r="A942" s="31"/>
      <c r="B942" s="304"/>
      <c r="C942" s="5"/>
      <c r="D942" s="5"/>
      <c r="E942" s="4"/>
      <c r="F942" s="4"/>
      <c r="G942" s="4"/>
      <c r="H942" s="4"/>
      <c r="I942" s="5"/>
      <c r="J942" s="4"/>
      <c r="K942" s="4"/>
      <c r="L942" s="4"/>
      <c r="M942" s="4"/>
      <c r="N942" s="5"/>
      <c r="O942" s="5"/>
      <c r="P942" s="5"/>
      <c r="Q942" s="5"/>
      <c r="R942" s="5"/>
      <c r="S942" s="5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</row>
    <row r="943">
      <c r="A943" s="31"/>
      <c r="B943" s="304"/>
      <c r="C943" s="5"/>
      <c r="D943" s="5"/>
      <c r="E943" s="4"/>
      <c r="F943" s="4"/>
      <c r="G943" s="4"/>
      <c r="H943" s="4"/>
      <c r="I943" s="5"/>
      <c r="J943" s="4"/>
      <c r="K943" s="4"/>
      <c r="L943" s="4"/>
      <c r="M943" s="4"/>
      <c r="N943" s="5"/>
      <c r="O943" s="5"/>
      <c r="P943" s="5"/>
      <c r="Q943" s="5"/>
      <c r="R943" s="5"/>
      <c r="S943" s="5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</row>
    <row r="944">
      <c r="A944" s="31"/>
      <c r="B944" s="304"/>
      <c r="C944" s="5"/>
      <c r="D944" s="5"/>
      <c r="E944" s="4"/>
      <c r="F944" s="4"/>
      <c r="G944" s="4"/>
      <c r="H944" s="4"/>
      <c r="I944" s="5"/>
      <c r="J944" s="4"/>
      <c r="K944" s="4"/>
      <c r="L944" s="4"/>
      <c r="M944" s="4"/>
      <c r="N944" s="5"/>
      <c r="O944" s="5"/>
      <c r="P944" s="5"/>
      <c r="Q944" s="5"/>
      <c r="R944" s="5"/>
      <c r="S944" s="5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</row>
    <row r="945">
      <c r="A945" s="31"/>
      <c r="B945" s="304"/>
      <c r="C945" s="5"/>
      <c r="D945" s="5"/>
      <c r="E945" s="4"/>
      <c r="F945" s="4"/>
      <c r="G945" s="4"/>
      <c r="H945" s="4"/>
      <c r="I945" s="5"/>
      <c r="J945" s="4"/>
      <c r="K945" s="4"/>
      <c r="L945" s="4"/>
      <c r="M945" s="4"/>
      <c r="N945" s="5"/>
      <c r="O945" s="5"/>
      <c r="P945" s="5"/>
      <c r="Q945" s="5"/>
      <c r="R945" s="5"/>
      <c r="S945" s="5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</row>
    <row r="946">
      <c r="A946" s="31"/>
      <c r="B946" s="304"/>
      <c r="C946" s="5"/>
      <c r="D946" s="5"/>
      <c r="E946" s="4"/>
      <c r="F946" s="4"/>
      <c r="G946" s="4"/>
      <c r="H946" s="4"/>
      <c r="I946" s="5"/>
      <c r="J946" s="4"/>
      <c r="K946" s="4"/>
      <c r="L946" s="4"/>
      <c r="M946" s="4"/>
      <c r="N946" s="5"/>
      <c r="O946" s="5"/>
      <c r="P946" s="5"/>
      <c r="Q946" s="5"/>
      <c r="R946" s="5"/>
      <c r="S946" s="5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</row>
    <row r="947">
      <c r="A947" s="31"/>
      <c r="B947" s="304"/>
      <c r="C947" s="5"/>
      <c r="D947" s="5"/>
      <c r="E947" s="4"/>
      <c r="F947" s="4"/>
      <c r="G947" s="4"/>
      <c r="H947" s="4"/>
      <c r="I947" s="5"/>
      <c r="J947" s="4"/>
      <c r="K947" s="4"/>
      <c r="L947" s="4"/>
      <c r="M947" s="4"/>
      <c r="N947" s="5"/>
      <c r="O947" s="5"/>
      <c r="P947" s="5"/>
      <c r="Q947" s="5"/>
      <c r="R947" s="5"/>
      <c r="S947" s="5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</row>
    <row r="948">
      <c r="A948" s="31"/>
      <c r="B948" s="304"/>
      <c r="C948" s="5"/>
      <c r="D948" s="5"/>
      <c r="E948" s="4"/>
      <c r="F948" s="4"/>
      <c r="G948" s="4"/>
      <c r="H948" s="4"/>
      <c r="I948" s="5"/>
      <c r="J948" s="4"/>
      <c r="K948" s="4"/>
      <c r="L948" s="4"/>
      <c r="M948" s="4"/>
      <c r="N948" s="5"/>
      <c r="O948" s="5"/>
      <c r="P948" s="5"/>
      <c r="Q948" s="5"/>
      <c r="R948" s="5"/>
      <c r="S948" s="5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</row>
    <row r="949">
      <c r="A949" s="31"/>
      <c r="B949" s="304"/>
      <c r="C949" s="5"/>
      <c r="D949" s="5"/>
      <c r="E949" s="4"/>
      <c r="F949" s="4"/>
      <c r="G949" s="4"/>
      <c r="H949" s="4"/>
      <c r="I949" s="5"/>
      <c r="J949" s="4"/>
      <c r="K949" s="4"/>
      <c r="L949" s="4"/>
      <c r="M949" s="4"/>
      <c r="N949" s="5"/>
      <c r="O949" s="5"/>
      <c r="P949" s="5"/>
      <c r="Q949" s="5"/>
      <c r="R949" s="5"/>
      <c r="S949" s="5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</row>
    <row r="950">
      <c r="A950" s="31"/>
      <c r="B950" s="304"/>
      <c r="C950" s="5"/>
      <c r="D950" s="5"/>
      <c r="E950" s="4"/>
      <c r="F950" s="4"/>
      <c r="G950" s="4"/>
      <c r="H950" s="4"/>
      <c r="I950" s="5"/>
      <c r="J950" s="4"/>
      <c r="K950" s="4"/>
      <c r="L950" s="4"/>
      <c r="M950" s="4"/>
      <c r="N950" s="5"/>
      <c r="O950" s="5"/>
      <c r="P950" s="5"/>
      <c r="Q950" s="5"/>
      <c r="R950" s="5"/>
      <c r="S950" s="5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</row>
    <row r="951">
      <c r="A951" s="31"/>
      <c r="B951" s="304"/>
      <c r="C951" s="5"/>
      <c r="D951" s="5"/>
      <c r="E951" s="4"/>
      <c r="F951" s="4"/>
      <c r="G951" s="4"/>
      <c r="H951" s="4"/>
      <c r="I951" s="5"/>
      <c r="J951" s="4"/>
      <c r="K951" s="4"/>
      <c r="L951" s="4"/>
      <c r="M951" s="4"/>
      <c r="N951" s="5"/>
      <c r="O951" s="5"/>
      <c r="P951" s="5"/>
      <c r="Q951" s="5"/>
      <c r="R951" s="5"/>
      <c r="S951" s="5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</row>
    <row r="952">
      <c r="A952" s="31"/>
      <c r="B952" s="304"/>
      <c r="C952" s="5"/>
      <c r="D952" s="5"/>
      <c r="E952" s="4"/>
      <c r="F952" s="4"/>
      <c r="G952" s="4"/>
      <c r="H952" s="4"/>
      <c r="I952" s="5"/>
      <c r="J952" s="4"/>
      <c r="K952" s="4"/>
      <c r="L952" s="4"/>
      <c r="M952" s="4"/>
      <c r="N952" s="5"/>
      <c r="O952" s="5"/>
      <c r="P952" s="5"/>
      <c r="Q952" s="5"/>
      <c r="R952" s="5"/>
      <c r="S952" s="5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</row>
    <row r="953">
      <c r="A953" s="31"/>
      <c r="B953" s="304"/>
      <c r="C953" s="5"/>
      <c r="D953" s="5"/>
      <c r="E953" s="4"/>
      <c r="F953" s="4"/>
      <c r="G953" s="4"/>
      <c r="H953" s="4"/>
      <c r="I953" s="5"/>
      <c r="J953" s="4"/>
      <c r="K953" s="4"/>
      <c r="L953" s="4"/>
      <c r="M953" s="4"/>
      <c r="N953" s="5"/>
      <c r="O953" s="5"/>
      <c r="P953" s="5"/>
      <c r="Q953" s="5"/>
      <c r="R953" s="5"/>
      <c r="S953" s="5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</row>
    <row r="954">
      <c r="A954" s="31"/>
      <c r="B954" s="304"/>
      <c r="C954" s="5"/>
      <c r="D954" s="5"/>
      <c r="E954" s="4"/>
      <c r="F954" s="4"/>
      <c r="G954" s="4"/>
      <c r="H954" s="4"/>
      <c r="I954" s="5"/>
      <c r="J954" s="4"/>
      <c r="K954" s="4"/>
      <c r="L954" s="4"/>
      <c r="M954" s="4"/>
      <c r="N954" s="5"/>
      <c r="O954" s="5"/>
      <c r="P954" s="5"/>
      <c r="Q954" s="5"/>
      <c r="R954" s="5"/>
      <c r="S954" s="5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</row>
    <row r="955">
      <c r="A955" s="31"/>
      <c r="B955" s="304"/>
      <c r="C955" s="5"/>
      <c r="D955" s="5"/>
      <c r="E955" s="4"/>
      <c r="F955" s="4"/>
      <c r="G955" s="4"/>
      <c r="H955" s="4"/>
      <c r="I955" s="5"/>
      <c r="J955" s="4"/>
      <c r="K955" s="4"/>
      <c r="L955" s="4"/>
      <c r="M955" s="4"/>
      <c r="N955" s="5"/>
      <c r="O955" s="5"/>
      <c r="P955" s="5"/>
      <c r="Q955" s="5"/>
      <c r="R955" s="5"/>
      <c r="S955" s="5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</row>
    <row r="956">
      <c r="A956" s="31"/>
      <c r="B956" s="304"/>
      <c r="C956" s="5"/>
      <c r="D956" s="5"/>
      <c r="E956" s="4"/>
      <c r="F956" s="4"/>
      <c r="G956" s="4"/>
      <c r="H956" s="4"/>
      <c r="I956" s="5"/>
      <c r="J956" s="4"/>
      <c r="K956" s="4"/>
      <c r="L956" s="4"/>
      <c r="M956" s="4"/>
      <c r="N956" s="5"/>
      <c r="O956" s="5"/>
      <c r="P956" s="5"/>
      <c r="Q956" s="5"/>
      <c r="R956" s="5"/>
      <c r="S956" s="5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</row>
    <row r="957">
      <c r="A957" s="31"/>
      <c r="B957" s="304"/>
      <c r="C957" s="5"/>
      <c r="D957" s="5"/>
      <c r="E957" s="4"/>
      <c r="F957" s="4"/>
      <c r="G957" s="4"/>
      <c r="H957" s="4"/>
      <c r="I957" s="5"/>
      <c r="J957" s="4"/>
      <c r="K957" s="4"/>
      <c r="L957" s="4"/>
      <c r="M957" s="4"/>
      <c r="N957" s="5"/>
      <c r="O957" s="5"/>
      <c r="P957" s="5"/>
      <c r="Q957" s="5"/>
      <c r="R957" s="5"/>
      <c r="S957" s="5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</row>
    <row r="958">
      <c r="A958" s="31"/>
      <c r="B958" s="304"/>
      <c r="C958" s="5"/>
      <c r="D958" s="5"/>
      <c r="E958" s="4"/>
      <c r="F958" s="4"/>
      <c r="G958" s="4"/>
      <c r="H958" s="4"/>
      <c r="I958" s="5"/>
      <c r="J958" s="4"/>
      <c r="K958" s="4"/>
      <c r="L958" s="4"/>
      <c r="M958" s="4"/>
      <c r="N958" s="5"/>
      <c r="O958" s="5"/>
      <c r="P958" s="5"/>
      <c r="Q958" s="5"/>
      <c r="R958" s="5"/>
      <c r="S958" s="5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</row>
    <row r="959">
      <c r="A959" s="31"/>
      <c r="B959" s="304"/>
      <c r="C959" s="5"/>
      <c r="D959" s="5"/>
      <c r="E959" s="4"/>
      <c r="F959" s="4"/>
      <c r="G959" s="4"/>
      <c r="H959" s="4"/>
      <c r="I959" s="5"/>
      <c r="J959" s="4"/>
      <c r="K959" s="4"/>
      <c r="L959" s="4"/>
      <c r="M959" s="4"/>
      <c r="N959" s="5"/>
      <c r="O959" s="5"/>
      <c r="P959" s="5"/>
      <c r="Q959" s="5"/>
      <c r="R959" s="5"/>
      <c r="S959" s="5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</row>
    <row r="960">
      <c r="A960" s="31"/>
      <c r="B960" s="304"/>
      <c r="C960" s="5"/>
      <c r="D960" s="5"/>
      <c r="E960" s="4"/>
      <c r="F960" s="4"/>
      <c r="G960" s="4"/>
      <c r="H960" s="4"/>
      <c r="I960" s="5"/>
      <c r="J960" s="4"/>
      <c r="K960" s="4"/>
      <c r="L960" s="4"/>
      <c r="M960" s="4"/>
      <c r="N960" s="5"/>
      <c r="O960" s="5"/>
      <c r="P960" s="5"/>
      <c r="Q960" s="5"/>
      <c r="R960" s="5"/>
      <c r="S960" s="5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</row>
    <row r="961">
      <c r="A961" s="31"/>
      <c r="B961" s="304"/>
      <c r="C961" s="5"/>
      <c r="D961" s="5"/>
      <c r="E961" s="4"/>
      <c r="F961" s="4"/>
      <c r="G961" s="4"/>
      <c r="H961" s="4"/>
      <c r="I961" s="5"/>
      <c r="J961" s="4"/>
      <c r="K961" s="4"/>
      <c r="L961" s="4"/>
      <c r="M961" s="4"/>
      <c r="N961" s="5"/>
      <c r="O961" s="5"/>
      <c r="P961" s="5"/>
      <c r="Q961" s="5"/>
      <c r="R961" s="5"/>
      <c r="S961" s="5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</row>
    <row r="962">
      <c r="A962" s="31"/>
      <c r="B962" s="304"/>
      <c r="C962" s="5"/>
      <c r="D962" s="5"/>
      <c r="E962" s="4"/>
      <c r="F962" s="4"/>
      <c r="G962" s="4"/>
      <c r="H962" s="4"/>
      <c r="I962" s="5"/>
      <c r="J962" s="4"/>
      <c r="K962" s="4"/>
      <c r="L962" s="4"/>
      <c r="M962" s="4"/>
      <c r="N962" s="5"/>
      <c r="O962" s="5"/>
      <c r="P962" s="5"/>
      <c r="Q962" s="5"/>
      <c r="R962" s="5"/>
      <c r="S962" s="5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</row>
    <row r="963">
      <c r="A963" s="31"/>
      <c r="B963" s="304"/>
      <c r="C963" s="5"/>
      <c r="D963" s="5"/>
      <c r="E963" s="4"/>
      <c r="F963" s="4"/>
      <c r="G963" s="4"/>
      <c r="H963" s="4"/>
      <c r="I963" s="5"/>
      <c r="J963" s="4"/>
      <c r="K963" s="4"/>
      <c r="L963" s="4"/>
      <c r="M963" s="4"/>
      <c r="N963" s="5"/>
      <c r="O963" s="5"/>
      <c r="P963" s="5"/>
      <c r="Q963" s="5"/>
      <c r="R963" s="5"/>
      <c r="S963" s="5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</row>
    <row r="964">
      <c r="A964" s="31"/>
      <c r="B964" s="304"/>
      <c r="C964" s="5"/>
      <c r="D964" s="5"/>
      <c r="E964" s="4"/>
      <c r="F964" s="4"/>
      <c r="G964" s="4"/>
      <c r="H964" s="4"/>
      <c r="I964" s="5"/>
      <c r="J964" s="4"/>
      <c r="K964" s="4"/>
      <c r="L964" s="4"/>
      <c r="M964" s="4"/>
      <c r="N964" s="5"/>
      <c r="O964" s="5"/>
      <c r="P964" s="5"/>
      <c r="Q964" s="5"/>
      <c r="R964" s="5"/>
      <c r="S964" s="5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</row>
    <row r="965">
      <c r="A965" s="31"/>
      <c r="B965" s="304"/>
      <c r="C965" s="5"/>
      <c r="D965" s="5"/>
      <c r="E965" s="4"/>
      <c r="F965" s="4"/>
      <c r="G965" s="4"/>
      <c r="H965" s="4"/>
      <c r="I965" s="5"/>
      <c r="J965" s="4"/>
      <c r="K965" s="4"/>
      <c r="L965" s="4"/>
      <c r="M965" s="4"/>
      <c r="N965" s="5"/>
      <c r="O965" s="5"/>
      <c r="P965" s="5"/>
      <c r="Q965" s="5"/>
      <c r="R965" s="5"/>
      <c r="S965" s="5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</row>
    <row r="966">
      <c r="A966" s="31"/>
      <c r="B966" s="304"/>
      <c r="C966" s="5"/>
      <c r="D966" s="5"/>
      <c r="E966" s="4"/>
      <c r="F966" s="4"/>
      <c r="G966" s="4"/>
      <c r="H966" s="4"/>
      <c r="I966" s="5"/>
      <c r="J966" s="4"/>
      <c r="K966" s="4"/>
      <c r="L966" s="4"/>
      <c r="M966" s="4"/>
      <c r="N966" s="5"/>
      <c r="O966" s="5"/>
      <c r="P966" s="5"/>
      <c r="Q966" s="5"/>
      <c r="R966" s="5"/>
      <c r="S966" s="5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</row>
    <row r="967">
      <c r="A967" s="31"/>
      <c r="B967" s="304"/>
      <c r="C967" s="5"/>
      <c r="D967" s="5"/>
      <c r="E967" s="4"/>
      <c r="F967" s="4"/>
      <c r="G967" s="4"/>
      <c r="H967" s="4"/>
      <c r="I967" s="5"/>
      <c r="J967" s="4"/>
      <c r="K967" s="4"/>
      <c r="L967" s="4"/>
      <c r="M967" s="4"/>
      <c r="N967" s="5"/>
      <c r="O967" s="5"/>
      <c r="P967" s="5"/>
      <c r="Q967" s="5"/>
      <c r="R967" s="5"/>
      <c r="S967" s="5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</row>
    <row r="968">
      <c r="A968" s="31"/>
      <c r="B968" s="304"/>
      <c r="C968" s="5"/>
      <c r="D968" s="5"/>
      <c r="E968" s="4"/>
      <c r="F968" s="4"/>
      <c r="G968" s="4"/>
      <c r="H968" s="4"/>
      <c r="I968" s="5"/>
      <c r="J968" s="4"/>
      <c r="K968" s="4"/>
      <c r="L968" s="4"/>
      <c r="M968" s="4"/>
      <c r="N968" s="5"/>
      <c r="O968" s="5"/>
      <c r="P968" s="5"/>
      <c r="Q968" s="5"/>
      <c r="R968" s="5"/>
      <c r="S968" s="5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</row>
    <row r="969">
      <c r="A969" s="31"/>
      <c r="B969" s="304"/>
      <c r="C969" s="5"/>
      <c r="D969" s="5"/>
      <c r="E969" s="4"/>
      <c r="F969" s="4"/>
      <c r="G969" s="4"/>
      <c r="H969" s="4"/>
      <c r="I969" s="5"/>
      <c r="J969" s="4"/>
      <c r="K969" s="4"/>
      <c r="L969" s="4"/>
      <c r="M969" s="4"/>
      <c r="N969" s="5"/>
      <c r="O969" s="5"/>
      <c r="P969" s="5"/>
      <c r="Q969" s="5"/>
      <c r="R969" s="5"/>
      <c r="S969" s="5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</row>
    <row r="970">
      <c r="A970" s="31"/>
      <c r="B970" s="304"/>
      <c r="C970" s="5"/>
      <c r="D970" s="5"/>
      <c r="E970" s="4"/>
      <c r="F970" s="4"/>
      <c r="G970" s="4"/>
      <c r="H970" s="4"/>
      <c r="I970" s="5"/>
      <c r="J970" s="4"/>
      <c r="K970" s="4"/>
      <c r="L970" s="4"/>
      <c r="M970" s="4"/>
      <c r="N970" s="5"/>
      <c r="O970" s="5"/>
      <c r="P970" s="5"/>
      <c r="Q970" s="5"/>
      <c r="R970" s="5"/>
      <c r="S970" s="5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</row>
    <row r="971">
      <c r="A971" s="31"/>
      <c r="B971" s="304"/>
      <c r="C971" s="5"/>
      <c r="D971" s="5"/>
      <c r="E971" s="4"/>
      <c r="F971" s="4"/>
      <c r="G971" s="4"/>
      <c r="H971" s="4"/>
      <c r="I971" s="5"/>
      <c r="J971" s="4"/>
      <c r="K971" s="4"/>
      <c r="L971" s="4"/>
      <c r="M971" s="4"/>
      <c r="N971" s="5"/>
      <c r="O971" s="5"/>
      <c r="P971" s="5"/>
      <c r="Q971" s="5"/>
      <c r="R971" s="5"/>
      <c r="S971" s="5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</row>
    <row r="972">
      <c r="A972" s="31"/>
      <c r="B972" s="304"/>
      <c r="C972" s="5"/>
      <c r="D972" s="5"/>
      <c r="E972" s="4"/>
      <c r="F972" s="4"/>
      <c r="G972" s="4"/>
      <c r="H972" s="4"/>
      <c r="I972" s="5"/>
      <c r="J972" s="4"/>
      <c r="K972" s="4"/>
      <c r="L972" s="4"/>
      <c r="M972" s="4"/>
      <c r="N972" s="5"/>
      <c r="O972" s="5"/>
      <c r="P972" s="5"/>
      <c r="Q972" s="5"/>
      <c r="R972" s="5"/>
      <c r="S972" s="5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</row>
    <row r="973">
      <c r="A973" s="31"/>
      <c r="B973" s="304"/>
      <c r="C973" s="5"/>
      <c r="D973" s="5"/>
      <c r="E973" s="4"/>
      <c r="F973" s="4"/>
      <c r="G973" s="4"/>
      <c r="H973" s="4"/>
      <c r="I973" s="5"/>
      <c r="J973" s="4"/>
      <c r="K973" s="4"/>
      <c r="L973" s="4"/>
      <c r="M973" s="4"/>
      <c r="N973" s="5"/>
      <c r="O973" s="5"/>
      <c r="P973" s="5"/>
      <c r="Q973" s="5"/>
      <c r="R973" s="5"/>
      <c r="S973" s="5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</row>
    <row r="974">
      <c r="A974" s="31"/>
      <c r="B974" s="304"/>
      <c r="C974" s="5"/>
      <c r="D974" s="5"/>
      <c r="E974" s="4"/>
      <c r="F974" s="4"/>
      <c r="G974" s="4"/>
      <c r="H974" s="4"/>
      <c r="I974" s="5"/>
      <c r="J974" s="4"/>
      <c r="K974" s="4"/>
      <c r="L974" s="4"/>
      <c r="M974" s="4"/>
      <c r="N974" s="5"/>
      <c r="O974" s="5"/>
      <c r="P974" s="5"/>
      <c r="Q974" s="5"/>
      <c r="R974" s="5"/>
      <c r="S974" s="5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</row>
    <row r="975">
      <c r="A975" s="31"/>
      <c r="B975" s="304"/>
      <c r="C975" s="5"/>
      <c r="D975" s="5"/>
      <c r="E975" s="4"/>
      <c r="F975" s="4"/>
      <c r="G975" s="4"/>
      <c r="H975" s="4"/>
      <c r="I975" s="5"/>
      <c r="J975" s="4"/>
      <c r="K975" s="4"/>
      <c r="L975" s="4"/>
      <c r="M975" s="4"/>
      <c r="N975" s="5"/>
      <c r="O975" s="5"/>
      <c r="P975" s="5"/>
      <c r="Q975" s="5"/>
      <c r="R975" s="5"/>
      <c r="S975" s="5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</row>
    <row r="976">
      <c r="A976" s="31"/>
      <c r="B976" s="304"/>
      <c r="C976" s="5"/>
      <c r="D976" s="5"/>
      <c r="E976" s="4"/>
      <c r="F976" s="4"/>
      <c r="G976" s="4"/>
      <c r="H976" s="4"/>
      <c r="I976" s="5"/>
      <c r="J976" s="4"/>
      <c r="K976" s="4"/>
      <c r="L976" s="4"/>
      <c r="M976" s="4"/>
      <c r="N976" s="5"/>
      <c r="O976" s="5"/>
      <c r="P976" s="5"/>
      <c r="Q976" s="5"/>
      <c r="R976" s="5"/>
      <c r="S976" s="5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</row>
    <row r="977">
      <c r="A977" s="31"/>
      <c r="B977" s="304"/>
      <c r="C977" s="5"/>
      <c r="D977" s="5"/>
      <c r="E977" s="4"/>
      <c r="F977" s="4"/>
      <c r="G977" s="4"/>
      <c r="H977" s="4"/>
      <c r="I977" s="5"/>
      <c r="J977" s="4"/>
      <c r="K977" s="4"/>
      <c r="L977" s="4"/>
      <c r="M977" s="4"/>
      <c r="N977" s="5"/>
      <c r="O977" s="5"/>
      <c r="P977" s="5"/>
      <c r="Q977" s="5"/>
      <c r="R977" s="5"/>
      <c r="S977" s="5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</row>
    <row r="978">
      <c r="A978" s="31"/>
      <c r="B978" s="304"/>
      <c r="C978" s="5"/>
      <c r="D978" s="5"/>
      <c r="E978" s="4"/>
      <c r="F978" s="4"/>
      <c r="G978" s="4"/>
      <c r="H978" s="4"/>
      <c r="I978" s="5"/>
      <c r="J978" s="4"/>
      <c r="K978" s="4"/>
      <c r="L978" s="4"/>
      <c r="M978" s="4"/>
      <c r="N978" s="5"/>
      <c r="O978" s="5"/>
      <c r="P978" s="5"/>
      <c r="Q978" s="5"/>
      <c r="R978" s="5"/>
      <c r="S978" s="5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</row>
    <row r="979">
      <c r="A979" s="31"/>
      <c r="B979" s="304"/>
      <c r="C979" s="5"/>
      <c r="D979" s="5"/>
      <c r="E979" s="4"/>
      <c r="F979" s="4"/>
      <c r="G979" s="4"/>
      <c r="H979" s="4"/>
      <c r="I979" s="5"/>
      <c r="J979" s="4"/>
      <c r="K979" s="4"/>
      <c r="L979" s="4"/>
      <c r="M979" s="4"/>
      <c r="N979" s="5"/>
      <c r="O979" s="5"/>
      <c r="P979" s="5"/>
      <c r="Q979" s="5"/>
      <c r="R979" s="5"/>
      <c r="S979" s="5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</row>
    <row r="980">
      <c r="A980" s="31"/>
      <c r="B980" s="304"/>
      <c r="C980" s="5"/>
      <c r="D980" s="5"/>
      <c r="E980" s="4"/>
      <c r="F980" s="4"/>
      <c r="G980" s="4"/>
      <c r="H980" s="4"/>
      <c r="I980" s="5"/>
      <c r="J980" s="4"/>
      <c r="K980" s="4"/>
      <c r="L980" s="4"/>
      <c r="M980" s="4"/>
      <c r="N980" s="5"/>
      <c r="O980" s="5"/>
      <c r="P980" s="5"/>
      <c r="Q980" s="5"/>
      <c r="R980" s="5"/>
      <c r="S980" s="5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</row>
    <row r="981">
      <c r="A981" s="31"/>
      <c r="B981" s="304"/>
      <c r="C981" s="5"/>
      <c r="D981" s="5"/>
      <c r="E981" s="4"/>
      <c r="F981" s="4"/>
      <c r="G981" s="4"/>
      <c r="H981" s="4"/>
      <c r="I981" s="5"/>
      <c r="J981" s="4"/>
      <c r="K981" s="4"/>
      <c r="L981" s="4"/>
      <c r="M981" s="4"/>
      <c r="N981" s="5"/>
      <c r="O981" s="5"/>
      <c r="P981" s="5"/>
      <c r="Q981" s="5"/>
      <c r="R981" s="5"/>
      <c r="S981" s="5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</row>
    <row r="982">
      <c r="A982" s="31"/>
      <c r="B982" s="304"/>
      <c r="C982" s="5"/>
      <c r="D982" s="5"/>
      <c r="E982" s="4"/>
      <c r="F982" s="4"/>
      <c r="G982" s="4"/>
      <c r="H982" s="4"/>
      <c r="I982" s="5"/>
      <c r="J982" s="4"/>
      <c r="K982" s="4"/>
      <c r="L982" s="4"/>
      <c r="M982" s="4"/>
      <c r="N982" s="5"/>
      <c r="O982" s="5"/>
      <c r="P982" s="5"/>
      <c r="Q982" s="5"/>
      <c r="R982" s="5"/>
      <c r="S982" s="5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</row>
    <row r="983">
      <c r="A983" s="31"/>
      <c r="B983" s="304"/>
      <c r="C983" s="5"/>
      <c r="D983" s="5"/>
      <c r="E983" s="4"/>
      <c r="F983" s="4"/>
      <c r="G983" s="4"/>
      <c r="H983" s="4"/>
      <c r="I983" s="5"/>
      <c r="J983" s="4"/>
      <c r="K983" s="4"/>
      <c r="L983" s="4"/>
      <c r="M983" s="4"/>
      <c r="N983" s="5"/>
      <c r="O983" s="5"/>
      <c r="P983" s="5"/>
      <c r="Q983" s="5"/>
      <c r="R983" s="5"/>
      <c r="S983" s="5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</row>
    <row r="984">
      <c r="A984" s="31"/>
      <c r="B984" s="304"/>
      <c r="C984" s="5"/>
      <c r="D984" s="5"/>
      <c r="E984" s="4"/>
      <c r="F984" s="4"/>
      <c r="G984" s="4"/>
      <c r="H984" s="4"/>
      <c r="I984" s="5"/>
      <c r="J984" s="4"/>
      <c r="K984" s="4"/>
      <c r="L984" s="4"/>
      <c r="M984" s="4"/>
      <c r="N984" s="5"/>
      <c r="O984" s="5"/>
      <c r="P984" s="5"/>
      <c r="Q984" s="5"/>
      <c r="R984" s="5"/>
      <c r="S984" s="5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</row>
    <row r="985">
      <c r="A985" s="31"/>
      <c r="B985" s="304"/>
      <c r="C985" s="5"/>
      <c r="D985" s="5"/>
      <c r="E985" s="4"/>
      <c r="F985" s="4"/>
      <c r="G985" s="4"/>
      <c r="H985" s="4"/>
      <c r="I985" s="5"/>
      <c r="J985" s="4"/>
      <c r="K985" s="4"/>
      <c r="L985" s="4"/>
      <c r="M985" s="4"/>
      <c r="N985" s="5"/>
      <c r="O985" s="5"/>
      <c r="P985" s="5"/>
      <c r="Q985" s="5"/>
      <c r="R985" s="5"/>
      <c r="S985" s="5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</row>
    <row r="986">
      <c r="A986" s="31"/>
      <c r="B986" s="304"/>
      <c r="C986" s="5"/>
      <c r="D986" s="5"/>
      <c r="E986" s="4"/>
      <c r="F986" s="4"/>
      <c r="G986" s="4"/>
      <c r="H986" s="4"/>
      <c r="I986" s="5"/>
      <c r="J986" s="4"/>
      <c r="K986" s="4"/>
      <c r="L986" s="4"/>
      <c r="M986" s="4"/>
      <c r="N986" s="5"/>
      <c r="O986" s="5"/>
      <c r="P986" s="5"/>
      <c r="Q986" s="5"/>
      <c r="R986" s="5"/>
      <c r="S986" s="5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</row>
    <row r="987">
      <c r="A987" s="31"/>
      <c r="B987" s="304"/>
      <c r="C987" s="5"/>
      <c r="D987" s="5"/>
      <c r="E987" s="4"/>
      <c r="F987" s="4"/>
      <c r="G987" s="4"/>
      <c r="H987" s="4"/>
      <c r="I987" s="5"/>
      <c r="J987" s="4"/>
      <c r="K987" s="4"/>
      <c r="L987" s="4"/>
      <c r="M987" s="4"/>
      <c r="N987" s="5"/>
      <c r="O987" s="5"/>
      <c r="P987" s="5"/>
      <c r="Q987" s="5"/>
      <c r="R987" s="5"/>
      <c r="S987" s="5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</row>
    <row r="988">
      <c r="A988" s="31"/>
      <c r="B988" s="304"/>
      <c r="C988" s="5"/>
      <c r="D988" s="5"/>
      <c r="E988" s="4"/>
      <c r="F988" s="4"/>
      <c r="G988" s="4"/>
      <c r="H988" s="4"/>
      <c r="I988" s="5"/>
      <c r="J988" s="4"/>
      <c r="K988" s="4"/>
      <c r="L988" s="4"/>
      <c r="M988" s="4"/>
      <c r="N988" s="5"/>
      <c r="O988" s="5"/>
      <c r="P988" s="5"/>
      <c r="Q988" s="5"/>
      <c r="R988" s="5"/>
      <c r="S988" s="5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</row>
    <row r="989">
      <c r="A989" s="31"/>
      <c r="B989" s="304"/>
      <c r="C989" s="5"/>
      <c r="D989" s="5"/>
      <c r="E989" s="4"/>
      <c r="F989" s="4"/>
      <c r="G989" s="4"/>
      <c r="H989" s="4"/>
      <c r="I989" s="5"/>
      <c r="J989" s="4"/>
      <c r="K989" s="4"/>
      <c r="L989" s="4"/>
      <c r="M989" s="4"/>
      <c r="N989" s="5"/>
      <c r="O989" s="5"/>
      <c r="P989" s="5"/>
      <c r="Q989" s="5"/>
      <c r="R989" s="5"/>
      <c r="S989" s="5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</row>
    <row r="990">
      <c r="A990" s="31"/>
      <c r="B990" s="304"/>
      <c r="C990" s="5"/>
      <c r="D990" s="5"/>
      <c r="E990" s="4"/>
      <c r="F990" s="4"/>
      <c r="G990" s="4"/>
      <c r="H990" s="4"/>
      <c r="I990" s="5"/>
      <c r="J990" s="4"/>
      <c r="K990" s="4"/>
      <c r="L990" s="4"/>
      <c r="M990" s="4"/>
      <c r="N990" s="5"/>
      <c r="O990" s="5"/>
      <c r="P990" s="5"/>
      <c r="Q990" s="5"/>
      <c r="R990" s="5"/>
      <c r="S990" s="5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</row>
    <row r="991">
      <c r="A991" s="31"/>
      <c r="B991" s="304"/>
      <c r="C991" s="5"/>
      <c r="D991" s="5"/>
      <c r="E991" s="4"/>
      <c r="F991" s="4"/>
      <c r="G991" s="4"/>
      <c r="H991" s="4"/>
      <c r="I991" s="5"/>
      <c r="J991" s="4"/>
      <c r="K991" s="4"/>
      <c r="L991" s="4"/>
      <c r="M991" s="4"/>
      <c r="N991" s="5"/>
      <c r="O991" s="5"/>
      <c r="P991" s="5"/>
      <c r="Q991" s="5"/>
      <c r="R991" s="5"/>
      <c r="S991" s="5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</row>
    <row r="992">
      <c r="A992" s="31"/>
      <c r="B992" s="304"/>
      <c r="C992" s="5"/>
      <c r="D992" s="5"/>
      <c r="E992" s="4"/>
      <c r="F992" s="4"/>
      <c r="G992" s="4"/>
      <c r="H992" s="4"/>
      <c r="I992" s="5"/>
      <c r="J992" s="4"/>
      <c r="K992" s="4"/>
      <c r="L992" s="4"/>
      <c r="M992" s="4"/>
      <c r="N992" s="5"/>
      <c r="O992" s="5"/>
      <c r="P992" s="5"/>
      <c r="Q992" s="5"/>
      <c r="R992" s="5"/>
      <c r="S992" s="5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</row>
    <row r="993">
      <c r="A993" s="31"/>
      <c r="B993" s="304"/>
      <c r="C993" s="5"/>
      <c r="D993" s="5"/>
      <c r="E993" s="4"/>
      <c r="F993" s="4"/>
      <c r="G993" s="4"/>
      <c r="H993" s="4"/>
      <c r="I993" s="5"/>
      <c r="J993" s="4"/>
      <c r="K993" s="4"/>
      <c r="L993" s="4"/>
      <c r="M993" s="4"/>
      <c r="N993" s="5"/>
      <c r="O993" s="5"/>
      <c r="P993" s="5"/>
      <c r="Q993" s="5"/>
      <c r="R993" s="5"/>
      <c r="S993" s="5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</row>
    <row r="994">
      <c r="A994" s="31"/>
      <c r="B994" s="304"/>
      <c r="C994" s="5"/>
      <c r="D994" s="5"/>
      <c r="E994" s="4"/>
      <c r="F994" s="4"/>
      <c r="G994" s="4"/>
      <c r="H994" s="4"/>
      <c r="I994" s="5"/>
      <c r="J994" s="4"/>
      <c r="K994" s="4"/>
      <c r="L994" s="4"/>
      <c r="M994" s="4"/>
      <c r="N994" s="5"/>
      <c r="O994" s="5"/>
      <c r="P994" s="5"/>
      <c r="Q994" s="5"/>
      <c r="R994" s="5"/>
      <c r="S994" s="5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</row>
    <row r="995">
      <c r="A995" s="31"/>
      <c r="B995" s="304"/>
      <c r="C995" s="5"/>
      <c r="D995" s="5"/>
      <c r="E995" s="4"/>
      <c r="F995" s="4"/>
      <c r="G995" s="4"/>
      <c r="H995" s="4"/>
      <c r="I995" s="5"/>
      <c r="J995" s="4"/>
      <c r="K995" s="4"/>
      <c r="L995" s="4"/>
      <c r="M995" s="4"/>
      <c r="N995" s="5"/>
      <c r="O995" s="5"/>
      <c r="P995" s="5"/>
      <c r="Q995" s="5"/>
      <c r="R995" s="5"/>
      <c r="S995" s="5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</row>
    <row r="996">
      <c r="A996" s="31"/>
      <c r="B996" s="304"/>
      <c r="C996" s="5"/>
      <c r="D996" s="5"/>
      <c r="E996" s="4"/>
      <c r="F996" s="4"/>
      <c r="G996" s="4"/>
      <c r="H996" s="4"/>
      <c r="I996" s="5"/>
      <c r="J996" s="4"/>
      <c r="K996" s="4"/>
      <c r="L996" s="4"/>
      <c r="M996" s="4"/>
      <c r="N996" s="5"/>
      <c r="O996" s="5"/>
      <c r="P996" s="5"/>
      <c r="Q996" s="5"/>
      <c r="R996" s="5"/>
      <c r="S996" s="5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</row>
    <row r="997">
      <c r="A997" s="31"/>
      <c r="B997" s="304"/>
      <c r="C997" s="5"/>
      <c r="D997" s="5"/>
      <c r="E997" s="4"/>
      <c r="F997" s="4"/>
      <c r="G997" s="4"/>
      <c r="H997" s="4"/>
      <c r="I997" s="5"/>
      <c r="J997" s="4"/>
      <c r="K997" s="4"/>
      <c r="L997" s="4"/>
      <c r="M997" s="4"/>
      <c r="N997" s="5"/>
      <c r="O997" s="5"/>
      <c r="P997" s="5"/>
      <c r="Q997" s="5"/>
      <c r="R997" s="5"/>
      <c r="S997" s="5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</row>
    <row r="998">
      <c r="A998" s="31"/>
      <c r="B998" s="304"/>
      <c r="C998" s="5"/>
      <c r="D998" s="5"/>
      <c r="E998" s="4"/>
      <c r="F998" s="4"/>
      <c r="G998" s="4"/>
      <c r="H998" s="4"/>
      <c r="I998" s="5"/>
      <c r="J998" s="4"/>
      <c r="K998" s="4"/>
      <c r="L998" s="4"/>
      <c r="M998" s="4"/>
      <c r="N998" s="5"/>
      <c r="O998" s="5"/>
      <c r="P998" s="5"/>
      <c r="Q998" s="5"/>
      <c r="R998" s="5"/>
      <c r="S998" s="5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</row>
    <row r="999">
      <c r="A999" s="31"/>
      <c r="B999" s="304"/>
      <c r="C999" s="5"/>
      <c r="D999" s="5"/>
      <c r="E999" s="4"/>
      <c r="F999" s="4"/>
      <c r="G999" s="4"/>
      <c r="H999" s="4"/>
      <c r="I999" s="5"/>
      <c r="J999" s="4"/>
      <c r="K999" s="4"/>
      <c r="L999" s="4"/>
      <c r="M999" s="4"/>
      <c r="N999" s="5"/>
      <c r="O999" s="5"/>
      <c r="P999" s="5"/>
      <c r="Q999" s="5"/>
      <c r="R999" s="5"/>
      <c r="S999" s="5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</row>
    <row r="1000">
      <c r="A1000" s="31"/>
      <c r="B1000" s="304"/>
      <c r="C1000" s="5"/>
      <c r="D1000" s="5"/>
      <c r="E1000" s="4"/>
      <c r="F1000" s="4"/>
      <c r="G1000" s="4"/>
      <c r="H1000" s="4"/>
      <c r="I1000" s="5"/>
      <c r="J1000" s="4"/>
      <c r="K1000" s="4"/>
      <c r="L1000" s="4"/>
      <c r="M1000" s="4"/>
      <c r="N1000" s="5"/>
      <c r="O1000" s="5"/>
      <c r="P1000" s="5"/>
      <c r="Q1000" s="5"/>
      <c r="R1000" s="5"/>
      <c r="S1000" s="5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</row>
    <row r="1001">
      <c r="A1001" s="31"/>
      <c r="B1001" s="304"/>
      <c r="C1001" s="5"/>
      <c r="D1001" s="5"/>
      <c r="E1001" s="4"/>
      <c r="F1001" s="4"/>
      <c r="G1001" s="4"/>
      <c r="H1001" s="4"/>
      <c r="I1001" s="5"/>
      <c r="J1001" s="4"/>
      <c r="K1001" s="4"/>
      <c r="L1001" s="4"/>
      <c r="M1001" s="4"/>
      <c r="N1001" s="5"/>
      <c r="O1001" s="5"/>
      <c r="P1001" s="5"/>
      <c r="Q1001" s="5"/>
      <c r="R1001" s="5"/>
      <c r="S1001" s="5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</row>
    <row r="1002">
      <c r="A1002" s="31"/>
      <c r="B1002" s="304"/>
      <c r="C1002" s="5"/>
      <c r="D1002" s="5"/>
      <c r="E1002" s="4"/>
      <c r="F1002" s="4"/>
      <c r="G1002" s="4"/>
      <c r="H1002" s="4"/>
      <c r="I1002" s="5"/>
      <c r="J1002" s="4"/>
      <c r="K1002" s="4"/>
      <c r="L1002" s="4"/>
      <c r="M1002" s="4"/>
      <c r="N1002" s="5"/>
      <c r="O1002" s="5"/>
      <c r="P1002" s="5"/>
      <c r="Q1002" s="5"/>
      <c r="R1002" s="5"/>
      <c r="S1002" s="5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</row>
    <row r="1003">
      <c r="A1003" s="31"/>
      <c r="B1003" s="304"/>
      <c r="C1003" s="5"/>
      <c r="D1003" s="5"/>
      <c r="E1003" s="4"/>
      <c r="F1003" s="4"/>
      <c r="G1003" s="4"/>
      <c r="H1003" s="4"/>
      <c r="I1003" s="5"/>
      <c r="J1003" s="4"/>
      <c r="K1003" s="4"/>
      <c r="L1003" s="4"/>
      <c r="M1003" s="4"/>
      <c r="N1003" s="5"/>
      <c r="O1003" s="5"/>
      <c r="P1003" s="5"/>
      <c r="Q1003" s="5"/>
      <c r="R1003" s="5"/>
      <c r="S1003" s="5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</row>
    <row r="1004">
      <c r="A1004" s="31"/>
      <c r="B1004" s="304"/>
      <c r="C1004" s="5"/>
      <c r="D1004" s="5"/>
      <c r="E1004" s="4"/>
      <c r="F1004" s="4"/>
      <c r="G1004" s="4"/>
      <c r="H1004" s="4"/>
      <c r="I1004" s="5"/>
      <c r="J1004" s="4"/>
      <c r="K1004" s="4"/>
      <c r="L1004" s="4"/>
      <c r="M1004" s="4"/>
      <c r="N1004" s="5"/>
      <c r="O1004" s="5"/>
      <c r="P1004" s="5"/>
      <c r="Q1004" s="5"/>
      <c r="R1004" s="5"/>
      <c r="S1004" s="5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</row>
  </sheetData>
  <autoFilter ref="$B$5:$Y$13"/>
  <mergeCells count="6">
    <mergeCell ref="C4:D4"/>
    <mergeCell ref="E4:H4"/>
    <mergeCell ref="J4:M4"/>
    <mergeCell ref="N4:Q4"/>
    <mergeCell ref="R4:U4"/>
    <mergeCell ref="V4:Y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.25"/>
    <col customWidth="1" min="3" max="3" width="0.38"/>
    <col customWidth="1" min="4" max="4" width="8.13"/>
    <col customWidth="1" min="5" max="5" width="4.13"/>
    <col customWidth="1" min="6" max="6" width="2.0"/>
    <col customWidth="1" min="7" max="7" width="7.75"/>
    <col customWidth="1" min="8" max="8" width="3.88"/>
    <col customWidth="1" min="9" max="9" width="2.88"/>
  </cols>
  <sheetData>
    <row r="1">
      <c r="A1" s="305"/>
      <c r="B1" s="306"/>
      <c r="C1" s="306"/>
      <c r="D1" s="306"/>
      <c r="E1" s="307"/>
      <c r="F1" s="306"/>
      <c r="G1" s="306"/>
      <c r="H1" s="306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08" t="str">
        <f t="array" ref="A2:A6">UNIQUE('Roadmap 2026'!B:B)</f>
        <v>Pilares da Estratégia</v>
      </c>
      <c r="B2" s="309" t="s">
        <v>842</v>
      </c>
      <c r="C2" s="306"/>
      <c r="D2" s="310" t="s">
        <v>681</v>
      </c>
      <c r="E2" s="311" t="s">
        <v>843</v>
      </c>
      <c r="F2" s="306"/>
      <c r="G2" s="312" t="s">
        <v>266</v>
      </c>
      <c r="H2" s="311" t="s">
        <v>843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05" t="s">
        <v>685</v>
      </c>
      <c r="B3" s="313">
        <f>COUNTIF('Roadmap 2026'!B:B,A3)/$B$18</f>
        <v>0.75</v>
      </c>
      <c r="C3" s="306"/>
      <c r="D3" s="314" t="s">
        <v>686</v>
      </c>
      <c r="E3" s="313">
        <f>COUNTIF('Roadmap 2026'!C:C,D3)/$B$18</f>
        <v>0.2916666667</v>
      </c>
      <c r="F3" s="306"/>
      <c r="G3" s="306" t="s">
        <v>687</v>
      </c>
      <c r="H3" s="313">
        <f>COUNTIF('Roadmap 2026'!D:D,G3)/$B$18</f>
        <v>0.5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05" t="s">
        <v>696</v>
      </c>
      <c r="B4" s="313">
        <f>COUNTIF('Roadmap 2026'!B:B,A4)/$B$18</f>
        <v>0.08333333333</v>
      </c>
      <c r="C4" s="306"/>
      <c r="D4" s="306" t="s">
        <v>424</v>
      </c>
      <c r="E4" s="313">
        <f>COUNTIF('Roadmap 2026'!C:C,D4)/$B$18</f>
        <v>0.3333333333</v>
      </c>
      <c r="F4" s="306"/>
      <c r="G4" s="306" t="s">
        <v>707</v>
      </c>
      <c r="H4" s="313">
        <f>COUNTIF('Roadmap 2026'!D:D,G4)/$B$18</f>
        <v>0.25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05" t="s">
        <v>718</v>
      </c>
      <c r="B5" s="313">
        <f>COUNTIF('Roadmap 2026'!B:B,A5)/$B$18</f>
        <v>0.125</v>
      </c>
      <c r="C5" s="306"/>
      <c r="D5" s="314" t="s">
        <v>398</v>
      </c>
      <c r="E5" s="313">
        <f>COUNTIF('Roadmap 2026'!C:C,D5)/$B$18</f>
        <v>0.1666666667</v>
      </c>
      <c r="F5" s="306"/>
      <c r="G5" s="306" t="s">
        <v>698</v>
      </c>
      <c r="H5" s="313">
        <f>COUNTIF('Roadmap 2026'!D:D,G5)/$B$18</f>
        <v>0.25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05" t="s">
        <v>722</v>
      </c>
      <c r="B6" s="313">
        <f>COUNTIF('Roadmap 2026'!B:B,A6)/$B$18</f>
        <v>0.04166666667</v>
      </c>
      <c r="C6" s="306"/>
      <c r="D6" s="306" t="s">
        <v>697</v>
      </c>
      <c r="E6" s="313">
        <f>COUNTIF('Roadmap 2026'!C:C,D6)/$B$18</f>
        <v>0.2083333333</v>
      </c>
      <c r="F6" s="306"/>
      <c r="G6" s="306"/>
      <c r="H6" s="313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05"/>
      <c r="B7" s="306"/>
      <c r="C7" s="306"/>
      <c r="D7" s="306"/>
      <c r="E7" s="307"/>
      <c r="F7" s="306"/>
      <c r="G7" s="306"/>
      <c r="H7" s="306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05"/>
      <c r="B8" s="306"/>
      <c r="C8" s="306"/>
      <c r="D8" s="306"/>
      <c r="E8" s="307"/>
      <c r="F8" s="306"/>
      <c r="G8" s="306"/>
      <c r="H8" s="306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05"/>
      <c r="B9" s="312" t="s">
        <v>54</v>
      </c>
      <c r="C9" s="312"/>
      <c r="D9" s="312" t="s">
        <v>55</v>
      </c>
      <c r="E9" s="309" t="s">
        <v>679</v>
      </c>
      <c r="F9" s="306"/>
      <c r="G9" s="306"/>
      <c r="H9" s="306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05" t="s">
        <v>689</v>
      </c>
      <c r="B10" s="315">
        <f>COUNTIF('Roadmap 2026'!F:F,$A10)</f>
        <v>4</v>
      </c>
      <c r="C10" s="315"/>
      <c r="D10" s="315">
        <f>COUNTIF('Roadmap 2026'!G:G,$A10)</f>
        <v>0</v>
      </c>
      <c r="E10" s="315">
        <f t="shared" ref="E10:E16" si="1">SUM(B10:D10)</f>
        <v>4</v>
      </c>
      <c r="F10" s="306"/>
      <c r="G10" s="306"/>
      <c r="H10" s="306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05" t="s">
        <v>712</v>
      </c>
      <c r="B11" s="315">
        <f>COUNTIF('Roadmap 2026'!F:F,$A11)</f>
        <v>6</v>
      </c>
      <c r="C11" s="315"/>
      <c r="D11" s="315">
        <f>COUNTIF('Roadmap 2026'!G:G,$A11)</f>
        <v>1</v>
      </c>
      <c r="E11" s="315">
        <f t="shared" si="1"/>
        <v>7</v>
      </c>
      <c r="F11" s="306"/>
      <c r="G11" s="306"/>
      <c r="H11" s="306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05" t="s">
        <v>625</v>
      </c>
      <c r="B12" s="315">
        <f>COUNTIF('Roadmap 2026'!F:F,$A12)</f>
        <v>4</v>
      </c>
      <c r="C12" s="315"/>
      <c r="D12" s="315">
        <f>COUNTIF('Roadmap 2026'!G:G,$A12)</f>
        <v>1</v>
      </c>
      <c r="E12" s="315">
        <f t="shared" si="1"/>
        <v>5</v>
      </c>
      <c r="F12" s="306"/>
      <c r="G12" s="306"/>
      <c r="H12" s="306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05" t="s">
        <v>711</v>
      </c>
      <c r="B13" s="315">
        <f>COUNTIF('Roadmap 2026'!F:F,$A13)</f>
        <v>4</v>
      </c>
      <c r="C13" s="315"/>
      <c r="D13" s="315">
        <f>COUNTIF('Roadmap 2026'!G:G,$A13)</f>
        <v>0</v>
      </c>
      <c r="E13" s="315">
        <f t="shared" si="1"/>
        <v>4</v>
      </c>
      <c r="F13" s="306"/>
      <c r="G13" s="306"/>
      <c r="H13" s="306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05" t="s">
        <v>693</v>
      </c>
      <c r="B14" s="315">
        <f>COUNTIF('Roadmap 2026'!F:F,$A14)</f>
        <v>3</v>
      </c>
      <c r="C14" s="315"/>
      <c r="D14" s="315">
        <f>COUNTIF('Roadmap 2026'!G:G,$A14)</f>
        <v>2</v>
      </c>
      <c r="E14" s="315">
        <f t="shared" si="1"/>
        <v>5</v>
      </c>
      <c r="F14" s="306"/>
      <c r="G14" s="306"/>
      <c r="H14" s="306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05" t="s">
        <v>323</v>
      </c>
      <c r="B15" s="315">
        <f>COUNTIF('Roadmap 2026'!F:F,$A15)</f>
        <v>3</v>
      </c>
      <c r="C15" s="315"/>
      <c r="D15" s="315">
        <f>COUNTIF('Roadmap 2026'!G:G,$A15)</f>
        <v>2</v>
      </c>
      <c r="E15" s="315">
        <f t="shared" si="1"/>
        <v>5</v>
      </c>
      <c r="F15" s="314" t="s">
        <v>844</v>
      </c>
      <c r="G15" s="306"/>
      <c r="H15" s="306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6" t="s">
        <v>318</v>
      </c>
      <c r="B16" s="315">
        <f>COUNTIF('Roadmap 2026'!F:F,$A16)</f>
        <v>0</v>
      </c>
      <c r="C16" s="315"/>
      <c r="D16" s="315">
        <f>COUNTIF('Roadmap 2026'!G:G,$A16)</f>
        <v>4</v>
      </c>
      <c r="E16" s="315">
        <f t="shared" si="1"/>
        <v>4</v>
      </c>
      <c r="F16" s="314" t="s">
        <v>844</v>
      </c>
      <c r="G16" s="306"/>
      <c r="H16" s="306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6" t="s">
        <v>845</v>
      </c>
      <c r="B17" s="315"/>
      <c r="C17" s="315"/>
      <c r="D17" s="315"/>
      <c r="E17" s="315"/>
      <c r="F17" s="314"/>
      <c r="G17" s="306"/>
      <c r="H17" s="306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05"/>
      <c r="B18" s="317">
        <f>SUM(B10:B17)</f>
        <v>24</v>
      </c>
      <c r="C18" s="317">
        <f t="shared" ref="C18:E18" si="2">SUM(C10:C16)</f>
        <v>0</v>
      </c>
      <c r="D18" s="317">
        <f t="shared" si="2"/>
        <v>10</v>
      </c>
      <c r="E18" s="317">
        <f t="shared" si="2"/>
        <v>34</v>
      </c>
      <c r="F18" s="306"/>
      <c r="G18" s="306"/>
      <c r="H18" s="306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05"/>
      <c r="B19" s="306"/>
      <c r="C19" s="306"/>
      <c r="D19" s="306"/>
      <c r="E19" s="307"/>
      <c r="F19" s="306"/>
      <c r="G19" s="306"/>
      <c r="H19" s="306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6"/>
      <c r="B20" s="306"/>
      <c r="C20" s="306"/>
      <c r="D20" s="306"/>
      <c r="E20" s="317"/>
      <c r="F20" s="306"/>
      <c r="G20" s="306"/>
      <c r="H20" s="306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05"/>
      <c r="B21" s="306"/>
      <c r="C21" s="306"/>
      <c r="D21" s="306"/>
      <c r="E21" s="307"/>
      <c r="F21" s="306"/>
      <c r="G21" s="306"/>
      <c r="H21" s="306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05"/>
      <c r="B22" s="306"/>
      <c r="C22" s="306"/>
      <c r="D22" s="306"/>
      <c r="E22" s="307"/>
      <c r="F22" s="306"/>
      <c r="G22" s="306"/>
      <c r="H22" s="306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05"/>
      <c r="B23" s="306"/>
      <c r="C23" s="306"/>
      <c r="D23" s="306"/>
      <c r="E23" s="307"/>
      <c r="F23" s="306"/>
      <c r="G23" s="306"/>
      <c r="H23" s="306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05"/>
      <c r="B24" s="306"/>
      <c r="C24" s="306"/>
      <c r="D24" s="306"/>
      <c r="E24" s="307"/>
      <c r="F24" s="306"/>
      <c r="G24" s="306"/>
      <c r="H24" s="306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05"/>
      <c r="B25" s="306"/>
      <c r="C25" s="306"/>
      <c r="D25" s="306"/>
      <c r="E25" s="307"/>
      <c r="F25" s="306"/>
      <c r="G25" s="306"/>
      <c r="H25" s="306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05"/>
      <c r="B26" s="306"/>
      <c r="C26" s="306"/>
      <c r="D26" s="306"/>
      <c r="E26" s="307"/>
      <c r="F26" s="306"/>
      <c r="G26" s="306"/>
      <c r="H26" s="306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05"/>
      <c r="B27" s="306"/>
      <c r="C27" s="306"/>
      <c r="D27" s="306"/>
      <c r="E27" s="307"/>
      <c r="F27" s="306"/>
      <c r="G27" s="306"/>
      <c r="H27" s="306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05"/>
      <c r="B28" s="306"/>
      <c r="C28" s="306"/>
      <c r="D28" s="306"/>
      <c r="E28" s="307"/>
      <c r="F28" s="306"/>
      <c r="G28" s="306"/>
      <c r="H28" s="306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05"/>
      <c r="B29" s="306"/>
      <c r="C29" s="306"/>
      <c r="D29" s="306"/>
      <c r="E29" s="307"/>
      <c r="F29" s="306"/>
      <c r="G29" s="306"/>
      <c r="H29" s="306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05"/>
      <c r="B30" s="306"/>
      <c r="C30" s="306"/>
      <c r="D30" s="306"/>
      <c r="E30" s="307"/>
      <c r="F30" s="306"/>
      <c r="G30" s="306"/>
      <c r="H30" s="306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05"/>
      <c r="B31" s="306"/>
      <c r="C31" s="306"/>
      <c r="D31" s="306"/>
      <c r="E31" s="307"/>
      <c r="F31" s="306"/>
      <c r="G31" s="306"/>
      <c r="H31" s="306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05"/>
      <c r="B32" s="306"/>
      <c r="C32" s="306"/>
      <c r="D32" s="306"/>
      <c r="E32" s="307"/>
      <c r="F32" s="306"/>
      <c r="G32" s="306"/>
      <c r="H32" s="306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05"/>
      <c r="B33" s="306"/>
      <c r="C33" s="306"/>
      <c r="D33" s="306"/>
      <c r="E33" s="307"/>
      <c r="F33" s="306"/>
      <c r="G33" s="306"/>
      <c r="H33" s="306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05"/>
      <c r="B34" s="306"/>
      <c r="C34" s="306"/>
      <c r="D34" s="306"/>
      <c r="E34" s="307"/>
      <c r="F34" s="306"/>
      <c r="G34" s="306"/>
      <c r="H34" s="306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05"/>
      <c r="B35" s="306"/>
      <c r="C35" s="306"/>
      <c r="D35" s="306"/>
      <c r="E35" s="307"/>
      <c r="F35" s="306"/>
      <c r="G35" s="306"/>
      <c r="H35" s="306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05"/>
      <c r="B36" s="306"/>
      <c r="C36" s="306"/>
      <c r="D36" s="306"/>
      <c r="E36" s="307"/>
      <c r="F36" s="306"/>
      <c r="G36" s="306"/>
      <c r="H36" s="306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05"/>
      <c r="B37" s="306"/>
      <c r="C37" s="306"/>
      <c r="D37" s="306"/>
      <c r="E37" s="307"/>
      <c r="F37" s="306"/>
      <c r="G37" s="306"/>
      <c r="H37" s="306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05"/>
      <c r="B38" s="306"/>
      <c r="C38" s="306"/>
      <c r="D38" s="306"/>
      <c r="E38" s="307"/>
      <c r="F38" s="306"/>
      <c r="G38" s="306"/>
      <c r="H38" s="306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05"/>
      <c r="B39" s="306"/>
      <c r="C39" s="306"/>
      <c r="D39" s="306"/>
      <c r="E39" s="307"/>
      <c r="F39" s="306"/>
      <c r="G39" s="306"/>
      <c r="H39" s="306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05"/>
      <c r="B40" s="306"/>
      <c r="C40" s="306"/>
      <c r="D40" s="306"/>
      <c r="E40" s="307"/>
      <c r="F40" s="306"/>
      <c r="G40" s="306"/>
      <c r="H40" s="306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05"/>
      <c r="B41" s="306"/>
      <c r="C41" s="306"/>
      <c r="D41" s="306"/>
      <c r="E41" s="307"/>
      <c r="F41" s="306"/>
      <c r="G41" s="306"/>
      <c r="H41" s="306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05"/>
      <c r="B42" s="306"/>
      <c r="C42" s="306"/>
      <c r="D42" s="306"/>
      <c r="E42" s="307"/>
      <c r="F42" s="306"/>
      <c r="G42" s="306"/>
      <c r="H42" s="306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05"/>
      <c r="B43" s="306"/>
      <c r="C43" s="306"/>
      <c r="D43" s="306"/>
      <c r="E43" s="307"/>
      <c r="F43" s="306"/>
      <c r="G43" s="306"/>
      <c r="H43" s="306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05"/>
      <c r="B44" s="306"/>
      <c r="C44" s="306"/>
      <c r="D44" s="306"/>
      <c r="E44" s="307"/>
      <c r="F44" s="306"/>
      <c r="G44" s="306"/>
      <c r="H44" s="306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05"/>
      <c r="B45" s="306"/>
      <c r="C45" s="306"/>
      <c r="D45" s="306"/>
      <c r="E45" s="307"/>
      <c r="F45" s="306"/>
      <c r="G45" s="306"/>
      <c r="H45" s="306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05"/>
      <c r="B46" s="306"/>
      <c r="C46" s="306"/>
      <c r="D46" s="306"/>
      <c r="E46" s="307"/>
      <c r="F46" s="306"/>
      <c r="G46" s="306"/>
      <c r="H46" s="306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05"/>
      <c r="B47" s="306"/>
      <c r="C47" s="306"/>
      <c r="D47" s="306"/>
      <c r="E47" s="307"/>
      <c r="F47" s="306"/>
      <c r="G47" s="306"/>
      <c r="H47" s="306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05"/>
      <c r="B48" s="306"/>
      <c r="C48" s="306"/>
      <c r="D48" s="306"/>
      <c r="E48" s="307"/>
      <c r="F48" s="306"/>
      <c r="G48" s="306"/>
      <c r="H48" s="306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05"/>
      <c r="B49" s="306"/>
      <c r="C49" s="306"/>
      <c r="D49" s="306"/>
      <c r="E49" s="307"/>
      <c r="F49" s="306"/>
      <c r="G49" s="306"/>
      <c r="H49" s="306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05"/>
      <c r="B50" s="306"/>
      <c r="C50" s="306"/>
      <c r="D50" s="306"/>
      <c r="E50" s="307"/>
      <c r="F50" s="306"/>
      <c r="G50" s="306"/>
      <c r="H50" s="306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05"/>
      <c r="B51" s="306"/>
      <c r="C51" s="306"/>
      <c r="D51" s="306"/>
      <c r="E51" s="307"/>
      <c r="F51" s="306"/>
      <c r="G51" s="306"/>
      <c r="H51" s="306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05"/>
      <c r="B52" s="306"/>
      <c r="C52" s="306"/>
      <c r="D52" s="306"/>
      <c r="E52" s="307"/>
      <c r="F52" s="306"/>
      <c r="G52" s="306"/>
      <c r="H52" s="306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05"/>
      <c r="B53" s="306"/>
      <c r="C53" s="306"/>
      <c r="D53" s="306"/>
      <c r="E53" s="307"/>
      <c r="F53" s="306"/>
      <c r="G53" s="306"/>
      <c r="H53" s="306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05"/>
      <c r="B54" s="306"/>
      <c r="C54" s="306"/>
      <c r="D54" s="306"/>
      <c r="E54" s="307"/>
      <c r="F54" s="306"/>
      <c r="G54" s="306"/>
      <c r="H54" s="306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05"/>
      <c r="B55" s="306"/>
      <c r="C55" s="306"/>
      <c r="D55" s="306"/>
      <c r="E55" s="307"/>
      <c r="F55" s="306"/>
      <c r="G55" s="306"/>
      <c r="H55" s="306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05"/>
      <c r="B56" s="306"/>
      <c r="C56" s="306"/>
      <c r="D56" s="306"/>
      <c r="E56" s="307"/>
      <c r="F56" s="306"/>
      <c r="G56" s="306"/>
      <c r="H56" s="306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05"/>
      <c r="B57" s="306"/>
      <c r="C57" s="306"/>
      <c r="D57" s="306"/>
      <c r="E57" s="307"/>
      <c r="F57" s="306"/>
      <c r="G57" s="306"/>
      <c r="H57" s="306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05"/>
      <c r="B58" s="306"/>
      <c r="C58" s="306"/>
      <c r="D58" s="306"/>
      <c r="E58" s="307"/>
      <c r="F58" s="306"/>
      <c r="G58" s="306"/>
      <c r="H58" s="306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05"/>
      <c r="B59" s="306"/>
      <c r="C59" s="306"/>
      <c r="D59" s="306"/>
      <c r="E59" s="307"/>
      <c r="F59" s="306"/>
      <c r="G59" s="306"/>
      <c r="H59" s="306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05"/>
      <c r="B60" s="306"/>
      <c r="C60" s="306"/>
      <c r="D60" s="306"/>
      <c r="E60" s="307"/>
      <c r="F60" s="306"/>
      <c r="G60" s="306"/>
      <c r="H60" s="306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05"/>
      <c r="B61" s="306"/>
      <c r="C61" s="306"/>
      <c r="D61" s="306"/>
      <c r="E61" s="307"/>
      <c r="F61" s="306"/>
      <c r="G61" s="306"/>
      <c r="H61" s="306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05"/>
      <c r="B62" s="306"/>
      <c r="C62" s="306"/>
      <c r="D62" s="306"/>
      <c r="E62" s="307"/>
      <c r="F62" s="306"/>
      <c r="G62" s="306"/>
      <c r="H62" s="306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05"/>
      <c r="B63" s="306"/>
      <c r="C63" s="306"/>
      <c r="D63" s="306"/>
      <c r="E63" s="307"/>
      <c r="F63" s="306"/>
      <c r="G63" s="306"/>
      <c r="H63" s="306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05"/>
      <c r="B64" s="306"/>
      <c r="C64" s="306"/>
      <c r="D64" s="306"/>
      <c r="E64" s="307"/>
      <c r="F64" s="306"/>
      <c r="G64" s="306"/>
      <c r="H64" s="306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05"/>
      <c r="B65" s="306"/>
      <c r="C65" s="306"/>
      <c r="D65" s="306"/>
      <c r="E65" s="307"/>
      <c r="F65" s="306"/>
      <c r="G65" s="306"/>
      <c r="H65" s="306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05"/>
      <c r="B66" s="306"/>
      <c r="C66" s="306"/>
      <c r="D66" s="306"/>
      <c r="E66" s="307"/>
      <c r="F66" s="306"/>
      <c r="G66" s="306"/>
      <c r="H66" s="306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05"/>
      <c r="B67" s="306"/>
      <c r="C67" s="306"/>
      <c r="D67" s="306"/>
      <c r="E67" s="307"/>
      <c r="F67" s="306"/>
      <c r="G67" s="306"/>
      <c r="H67" s="306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05"/>
      <c r="B68" s="306"/>
      <c r="C68" s="306"/>
      <c r="D68" s="306"/>
      <c r="E68" s="307"/>
      <c r="F68" s="306"/>
      <c r="G68" s="306"/>
      <c r="H68" s="306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05"/>
      <c r="B69" s="306"/>
      <c r="C69" s="306"/>
      <c r="D69" s="306"/>
      <c r="E69" s="307"/>
      <c r="F69" s="306"/>
      <c r="G69" s="306"/>
      <c r="H69" s="306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05"/>
      <c r="B70" s="306"/>
      <c r="C70" s="306"/>
      <c r="D70" s="306"/>
      <c r="E70" s="307"/>
      <c r="F70" s="306"/>
      <c r="G70" s="306"/>
      <c r="H70" s="306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05"/>
      <c r="B71" s="306"/>
      <c r="C71" s="306"/>
      <c r="D71" s="306"/>
      <c r="E71" s="307"/>
      <c r="F71" s="306"/>
      <c r="G71" s="306"/>
      <c r="H71" s="306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05"/>
      <c r="B72" s="306"/>
      <c r="C72" s="306"/>
      <c r="D72" s="306"/>
      <c r="E72" s="307"/>
      <c r="F72" s="306"/>
      <c r="G72" s="306"/>
      <c r="H72" s="306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05"/>
      <c r="B73" s="306"/>
      <c r="C73" s="306"/>
      <c r="D73" s="306"/>
      <c r="E73" s="307"/>
      <c r="F73" s="306"/>
      <c r="G73" s="306"/>
      <c r="H73" s="306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05"/>
      <c r="B74" s="306"/>
      <c r="C74" s="306"/>
      <c r="D74" s="306"/>
      <c r="E74" s="307"/>
      <c r="F74" s="306"/>
      <c r="G74" s="306"/>
      <c r="H74" s="306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05"/>
      <c r="B75" s="306"/>
      <c r="C75" s="306"/>
      <c r="D75" s="306"/>
      <c r="E75" s="307"/>
      <c r="F75" s="306"/>
      <c r="G75" s="306"/>
      <c r="H75" s="306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05"/>
      <c r="B76" s="306"/>
      <c r="C76" s="306"/>
      <c r="D76" s="306"/>
      <c r="E76" s="307"/>
      <c r="F76" s="306"/>
      <c r="G76" s="306"/>
      <c r="H76" s="306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05"/>
      <c r="B77" s="306"/>
      <c r="C77" s="306"/>
      <c r="D77" s="306"/>
      <c r="E77" s="307"/>
      <c r="F77" s="306"/>
      <c r="G77" s="306"/>
      <c r="H77" s="306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05"/>
      <c r="B78" s="306"/>
      <c r="C78" s="306"/>
      <c r="D78" s="306"/>
      <c r="E78" s="307"/>
      <c r="F78" s="306"/>
      <c r="G78" s="306"/>
      <c r="H78" s="306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05"/>
      <c r="B79" s="306"/>
      <c r="C79" s="306"/>
      <c r="D79" s="306"/>
      <c r="E79" s="307"/>
      <c r="F79" s="306"/>
      <c r="G79" s="306"/>
      <c r="H79" s="306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05"/>
      <c r="B80" s="306"/>
      <c r="C80" s="306"/>
      <c r="D80" s="306"/>
      <c r="E80" s="307"/>
      <c r="F80" s="306"/>
      <c r="G80" s="306"/>
      <c r="H80" s="306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05"/>
      <c r="B81" s="306"/>
      <c r="C81" s="306"/>
      <c r="D81" s="306"/>
      <c r="E81" s="307"/>
      <c r="F81" s="306"/>
      <c r="G81" s="306"/>
      <c r="H81" s="306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05"/>
      <c r="B82" s="306"/>
      <c r="C82" s="306"/>
      <c r="D82" s="306"/>
      <c r="E82" s="307"/>
      <c r="F82" s="306"/>
      <c r="G82" s="306"/>
      <c r="H82" s="306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05"/>
      <c r="B83" s="306"/>
      <c r="C83" s="306"/>
      <c r="D83" s="306"/>
      <c r="E83" s="307"/>
      <c r="F83" s="306"/>
      <c r="G83" s="306"/>
      <c r="H83" s="306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05"/>
      <c r="B84" s="306"/>
      <c r="C84" s="306"/>
      <c r="D84" s="306"/>
      <c r="E84" s="307"/>
      <c r="F84" s="306"/>
      <c r="G84" s="306"/>
      <c r="H84" s="306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05"/>
      <c r="B85" s="306"/>
      <c r="C85" s="306"/>
      <c r="D85" s="306"/>
      <c r="E85" s="307"/>
      <c r="F85" s="306"/>
      <c r="G85" s="306"/>
      <c r="H85" s="306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05"/>
      <c r="B86" s="306"/>
      <c r="C86" s="306"/>
      <c r="D86" s="306"/>
      <c r="E86" s="307"/>
      <c r="F86" s="306"/>
      <c r="G86" s="306"/>
      <c r="H86" s="306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05"/>
      <c r="B87" s="306"/>
      <c r="C87" s="306"/>
      <c r="D87" s="306"/>
      <c r="E87" s="307"/>
      <c r="F87" s="306"/>
      <c r="G87" s="306"/>
      <c r="H87" s="306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05"/>
      <c r="B88" s="306"/>
      <c r="C88" s="306"/>
      <c r="D88" s="306"/>
      <c r="E88" s="307"/>
      <c r="F88" s="306"/>
      <c r="G88" s="306"/>
      <c r="H88" s="306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05"/>
      <c r="B89" s="306"/>
      <c r="C89" s="306"/>
      <c r="D89" s="306"/>
      <c r="E89" s="307"/>
      <c r="F89" s="306"/>
      <c r="G89" s="306"/>
      <c r="H89" s="306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05"/>
      <c r="B90" s="306"/>
      <c r="C90" s="306"/>
      <c r="D90" s="306"/>
      <c r="E90" s="307"/>
      <c r="F90" s="306"/>
      <c r="G90" s="306"/>
      <c r="H90" s="306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05"/>
      <c r="B91" s="306"/>
      <c r="C91" s="306"/>
      <c r="D91" s="306"/>
      <c r="E91" s="307"/>
      <c r="F91" s="306"/>
      <c r="G91" s="306"/>
      <c r="H91" s="306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05"/>
      <c r="B92" s="306"/>
      <c r="C92" s="306"/>
      <c r="D92" s="306"/>
      <c r="E92" s="307"/>
      <c r="F92" s="306"/>
      <c r="G92" s="306"/>
      <c r="H92" s="306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05"/>
      <c r="B93" s="306"/>
      <c r="C93" s="306"/>
      <c r="D93" s="306"/>
      <c r="E93" s="307"/>
      <c r="F93" s="306"/>
      <c r="G93" s="306"/>
      <c r="H93" s="306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05"/>
      <c r="B94" s="306"/>
      <c r="C94" s="306"/>
      <c r="D94" s="306"/>
      <c r="E94" s="307"/>
      <c r="F94" s="306"/>
      <c r="G94" s="306"/>
      <c r="H94" s="306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05"/>
      <c r="B95" s="306"/>
      <c r="C95" s="306"/>
      <c r="D95" s="306"/>
      <c r="E95" s="307"/>
      <c r="F95" s="306"/>
      <c r="G95" s="306"/>
      <c r="H95" s="306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05"/>
      <c r="B96" s="306"/>
      <c r="C96" s="306"/>
      <c r="D96" s="306"/>
      <c r="E96" s="307"/>
      <c r="F96" s="306"/>
      <c r="G96" s="306"/>
      <c r="H96" s="306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05"/>
      <c r="B97" s="306"/>
      <c r="C97" s="306"/>
      <c r="D97" s="306"/>
      <c r="E97" s="307"/>
      <c r="F97" s="306"/>
      <c r="G97" s="306"/>
      <c r="H97" s="306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05"/>
      <c r="B98" s="306"/>
      <c r="C98" s="306"/>
      <c r="D98" s="306"/>
      <c r="E98" s="307"/>
      <c r="F98" s="306"/>
      <c r="G98" s="306"/>
      <c r="H98" s="306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05"/>
      <c r="B99" s="306"/>
      <c r="C99" s="306"/>
      <c r="D99" s="306"/>
      <c r="E99" s="307"/>
      <c r="F99" s="306"/>
      <c r="G99" s="306"/>
      <c r="H99" s="306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05"/>
      <c r="B100" s="306"/>
      <c r="C100" s="306"/>
      <c r="D100" s="306"/>
      <c r="E100" s="307"/>
      <c r="F100" s="306"/>
      <c r="G100" s="306"/>
      <c r="H100" s="306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05"/>
      <c r="B101" s="306"/>
      <c r="C101" s="306"/>
      <c r="D101" s="306"/>
      <c r="E101" s="307"/>
      <c r="F101" s="306"/>
      <c r="G101" s="306"/>
      <c r="H101" s="306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05"/>
      <c r="B102" s="306"/>
      <c r="C102" s="306"/>
      <c r="D102" s="306"/>
      <c r="E102" s="307"/>
      <c r="F102" s="306"/>
      <c r="G102" s="306"/>
      <c r="H102" s="306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05"/>
      <c r="B103" s="306"/>
      <c r="C103" s="306"/>
      <c r="D103" s="306"/>
      <c r="E103" s="307"/>
      <c r="F103" s="306"/>
      <c r="G103" s="306"/>
      <c r="H103" s="306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05"/>
      <c r="B104" s="306"/>
      <c r="C104" s="306"/>
      <c r="D104" s="306"/>
      <c r="E104" s="307"/>
      <c r="F104" s="306"/>
      <c r="G104" s="306"/>
      <c r="H104" s="306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05"/>
      <c r="B105" s="306"/>
      <c r="C105" s="306"/>
      <c r="D105" s="306"/>
      <c r="E105" s="307"/>
      <c r="F105" s="306"/>
      <c r="G105" s="306"/>
      <c r="H105" s="306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05"/>
      <c r="B106" s="306"/>
      <c r="C106" s="306"/>
      <c r="D106" s="306"/>
      <c r="E106" s="307"/>
      <c r="F106" s="306"/>
      <c r="G106" s="306"/>
      <c r="H106" s="306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05"/>
      <c r="B107" s="306"/>
      <c r="C107" s="306"/>
      <c r="D107" s="306"/>
      <c r="E107" s="307"/>
      <c r="F107" s="306"/>
      <c r="G107" s="306"/>
      <c r="H107" s="306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05"/>
      <c r="B108" s="306"/>
      <c r="C108" s="306"/>
      <c r="D108" s="306"/>
      <c r="E108" s="307"/>
      <c r="F108" s="306"/>
      <c r="G108" s="306"/>
      <c r="H108" s="306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05"/>
      <c r="B109" s="306"/>
      <c r="C109" s="306"/>
      <c r="D109" s="306"/>
      <c r="E109" s="307"/>
      <c r="F109" s="306"/>
      <c r="G109" s="306"/>
      <c r="H109" s="306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05"/>
      <c r="B110" s="306"/>
      <c r="C110" s="306"/>
      <c r="D110" s="306"/>
      <c r="E110" s="307"/>
      <c r="F110" s="306"/>
      <c r="G110" s="306"/>
      <c r="H110" s="306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05"/>
      <c r="B111" s="306"/>
      <c r="C111" s="306"/>
      <c r="D111" s="306"/>
      <c r="E111" s="307"/>
      <c r="F111" s="306"/>
      <c r="G111" s="306"/>
      <c r="H111" s="306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05"/>
      <c r="B112" s="306"/>
      <c r="C112" s="306"/>
      <c r="D112" s="306"/>
      <c r="E112" s="307"/>
      <c r="F112" s="306"/>
      <c r="G112" s="306"/>
      <c r="H112" s="306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05"/>
      <c r="B113" s="306"/>
      <c r="C113" s="306"/>
      <c r="D113" s="306"/>
      <c r="E113" s="307"/>
      <c r="F113" s="306"/>
      <c r="G113" s="306"/>
      <c r="H113" s="306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05"/>
      <c r="B114" s="306"/>
      <c r="C114" s="306"/>
      <c r="D114" s="306"/>
      <c r="E114" s="307"/>
      <c r="F114" s="306"/>
      <c r="G114" s="306"/>
      <c r="H114" s="306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05"/>
      <c r="B115" s="306"/>
      <c r="C115" s="306"/>
      <c r="D115" s="306"/>
      <c r="E115" s="307"/>
      <c r="F115" s="306"/>
      <c r="G115" s="306"/>
      <c r="H115" s="306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05"/>
      <c r="B116" s="306"/>
      <c r="C116" s="306"/>
      <c r="D116" s="306"/>
      <c r="E116" s="307"/>
      <c r="F116" s="306"/>
      <c r="G116" s="306"/>
      <c r="H116" s="306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05"/>
      <c r="B117" s="306"/>
      <c r="C117" s="306"/>
      <c r="D117" s="306"/>
      <c r="E117" s="307"/>
      <c r="F117" s="306"/>
      <c r="G117" s="306"/>
      <c r="H117" s="306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05"/>
      <c r="B118" s="306"/>
      <c r="C118" s="306"/>
      <c r="D118" s="306"/>
      <c r="E118" s="307"/>
      <c r="F118" s="306"/>
      <c r="G118" s="306"/>
      <c r="H118" s="306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05"/>
      <c r="B119" s="306"/>
      <c r="C119" s="306"/>
      <c r="D119" s="306"/>
      <c r="E119" s="307"/>
      <c r="F119" s="306"/>
      <c r="G119" s="306"/>
      <c r="H119" s="306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05"/>
      <c r="B120" s="306"/>
      <c r="C120" s="306"/>
      <c r="D120" s="306"/>
      <c r="E120" s="307"/>
      <c r="F120" s="306"/>
      <c r="G120" s="306"/>
      <c r="H120" s="306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05"/>
      <c r="B121" s="306"/>
      <c r="C121" s="306"/>
      <c r="D121" s="306"/>
      <c r="E121" s="307"/>
      <c r="F121" s="306"/>
      <c r="G121" s="306"/>
      <c r="H121" s="306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05"/>
      <c r="B122" s="306"/>
      <c r="C122" s="306"/>
      <c r="D122" s="306"/>
      <c r="E122" s="307"/>
      <c r="F122" s="306"/>
      <c r="G122" s="306"/>
      <c r="H122" s="306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05"/>
      <c r="B123" s="306"/>
      <c r="C123" s="306"/>
      <c r="D123" s="306"/>
      <c r="E123" s="307"/>
      <c r="F123" s="306"/>
      <c r="G123" s="306"/>
      <c r="H123" s="306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05"/>
      <c r="B124" s="306"/>
      <c r="C124" s="306"/>
      <c r="D124" s="306"/>
      <c r="E124" s="307"/>
      <c r="F124" s="306"/>
      <c r="G124" s="306"/>
      <c r="H124" s="306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05"/>
      <c r="B125" s="306"/>
      <c r="C125" s="306"/>
      <c r="D125" s="306"/>
      <c r="E125" s="307"/>
      <c r="F125" s="306"/>
      <c r="G125" s="306"/>
      <c r="H125" s="306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05"/>
      <c r="B126" s="306"/>
      <c r="C126" s="306"/>
      <c r="D126" s="306"/>
      <c r="E126" s="307"/>
      <c r="F126" s="306"/>
      <c r="G126" s="306"/>
      <c r="H126" s="306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05"/>
      <c r="B127" s="306"/>
      <c r="C127" s="306"/>
      <c r="D127" s="306"/>
      <c r="E127" s="307"/>
      <c r="F127" s="306"/>
      <c r="G127" s="306"/>
      <c r="H127" s="306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05"/>
      <c r="B128" s="306"/>
      <c r="C128" s="306"/>
      <c r="D128" s="306"/>
      <c r="E128" s="307"/>
      <c r="F128" s="306"/>
      <c r="G128" s="306"/>
      <c r="H128" s="306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05"/>
      <c r="B129" s="306"/>
      <c r="C129" s="306"/>
      <c r="D129" s="306"/>
      <c r="E129" s="307"/>
      <c r="F129" s="306"/>
      <c r="G129" s="306"/>
      <c r="H129" s="306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05"/>
      <c r="B130" s="306"/>
      <c r="C130" s="306"/>
      <c r="D130" s="306"/>
      <c r="E130" s="307"/>
      <c r="F130" s="306"/>
      <c r="G130" s="306"/>
      <c r="H130" s="306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05"/>
      <c r="B131" s="306"/>
      <c r="C131" s="306"/>
      <c r="D131" s="306"/>
      <c r="E131" s="307"/>
      <c r="F131" s="306"/>
      <c r="G131" s="306"/>
      <c r="H131" s="306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05"/>
      <c r="B132" s="306"/>
      <c r="C132" s="306"/>
      <c r="D132" s="306"/>
      <c r="E132" s="307"/>
      <c r="F132" s="306"/>
      <c r="G132" s="306"/>
      <c r="H132" s="306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05"/>
      <c r="B133" s="306"/>
      <c r="C133" s="306"/>
      <c r="D133" s="306"/>
      <c r="E133" s="307"/>
      <c r="F133" s="306"/>
      <c r="G133" s="306"/>
      <c r="H133" s="306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05"/>
      <c r="B134" s="306"/>
      <c r="C134" s="306"/>
      <c r="D134" s="306"/>
      <c r="E134" s="307"/>
      <c r="F134" s="306"/>
      <c r="G134" s="306"/>
      <c r="H134" s="306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05"/>
      <c r="B135" s="306"/>
      <c r="C135" s="306"/>
      <c r="D135" s="306"/>
      <c r="E135" s="307"/>
      <c r="F135" s="306"/>
      <c r="G135" s="306"/>
      <c r="H135" s="306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05"/>
      <c r="B136" s="306"/>
      <c r="C136" s="306"/>
      <c r="D136" s="306"/>
      <c r="E136" s="307"/>
      <c r="F136" s="306"/>
      <c r="G136" s="306"/>
      <c r="H136" s="306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05"/>
      <c r="B137" s="306"/>
      <c r="C137" s="306"/>
      <c r="D137" s="306"/>
      <c r="E137" s="307"/>
      <c r="F137" s="306"/>
      <c r="G137" s="306"/>
      <c r="H137" s="306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05"/>
      <c r="B138" s="306"/>
      <c r="C138" s="306"/>
      <c r="D138" s="306"/>
      <c r="E138" s="307"/>
      <c r="F138" s="306"/>
      <c r="G138" s="306"/>
      <c r="H138" s="306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05"/>
      <c r="B139" s="306"/>
      <c r="C139" s="306"/>
      <c r="D139" s="306"/>
      <c r="E139" s="307"/>
      <c r="F139" s="306"/>
      <c r="G139" s="306"/>
      <c r="H139" s="306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05"/>
      <c r="B140" s="306"/>
      <c r="C140" s="306"/>
      <c r="D140" s="306"/>
      <c r="E140" s="307"/>
      <c r="F140" s="306"/>
      <c r="G140" s="306"/>
      <c r="H140" s="306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05"/>
      <c r="B141" s="306"/>
      <c r="C141" s="306"/>
      <c r="D141" s="306"/>
      <c r="E141" s="307"/>
      <c r="F141" s="306"/>
      <c r="G141" s="306"/>
      <c r="H141" s="306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05"/>
      <c r="B142" s="306"/>
      <c r="C142" s="306"/>
      <c r="D142" s="306"/>
      <c r="E142" s="307"/>
      <c r="F142" s="306"/>
      <c r="G142" s="306"/>
      <c r="H142" s="306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05"/>
      <c r="B143" s="306"/>
      <c r="C143" s="306"/>
      <c r="D143" s="306"/>
      <c r="E143" s="307"/>
      <c r="F143" s="306"/>
      <c r="G143" s="306"/>
      <c r="H143" s="306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05"/>
      <c r="B144" s="306"/>
      <c r="C144" s="306"/>
      <c r="D144" s="306"/>
      <c r="E144" s="307"/>
      <c r="F144" s="306"/>
      <c r="G144" s="306"/>
      <c r="H144" s="306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05"/>
      <c r="B145" s="306"/>
      <c r="C145" s="306"/>
      <c r="D145" s="306"/>
      <c r="E145" s="307"/>
      <c r="F145" s="306"/>
      <c r="G145" s="306"/>
      <c r="H145" s="306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05"/>
      <c r="B146" s="306"/>
      <c r="C146" s="306"/>
      <c r="D146" s="306"/>
      <c r="E146" s="307"/>
      <c r="F146" s="306"/>
      <c r="G146" s="306"/>
      <c r="H146" s="306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05"/>
      <c r="B147" s="306"/>
      <c r="C147" s="306"/>
      <c r="D147" s="306"/>
      <c r="E147" s="307"/>
      <c r="F147" s="306"/>
      <c r="G147" s="306"/>
      <c r="H147" s="306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05"/>
      <c r="B148" s="306"/>
      <c r="C148" s="306"/>
      <c r="D148" s="306"/>
      <c r="E148" s="307"/>
      <c r="F148" s="306"/>
      <c r="G148" s="306"/>
      <c r="H148" s="306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05"/>
      <c r="B149" s="306"/>
      <c r="C149" s="306"/>
      <c r="D149" s="306"/>
      <c r="E149" s="307"/>
      <c r="F149" s="306"/>
      <c r="G149" s="306"/>
      <c r="H149" s="306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05"/>
      <c r="B150" s="306"/>
      <c r="C150" s="306"/>
      <c r="D150" s="306"/>
      <c r="E150" s="307"/>
      <c r="F150" s="306"/>
      <c r="G150" s="306"/>
      <c r="H150" s="306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05"/>
      <c r="B151" s="306"/>
      <c r="C151" s="306"/>
      <c r="D151" s="306"/>
      <c r="E151" s="307"/>
      <c r="F151" s="306"/>
      <c r="G151" s="306"/>
      <c r="H151" s="306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05"/>
      <c r="B152" s="306"/>
      <c r="C152" s="306"/>
      <c r="D152" s="306"/>
      <c r="E152" s="307"/>
      <c r="F152" s="306"/>
      <c r="G152" s="306"/>
      <c r="H152" s="306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05"/>
      <c r="B153" s="306"/>
      <c r="C153" s="306"/>
      <c r="D153" s="306"/>
      <c r="E153" s="307"/>
      <c r="F153" s="306"/>
      <c r="G153" s="306"/>
      <c r="H153" s="306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05"/>
      <c r="B154" s="306"/>
      <c r="C154" s="306"/>
      <c r="D154" s="306"/>
      <c r="E154" s="307"/>
      <c r="F154" s="306"/>
      <c r="G154" s="306"/>
      <c r="H154" s="306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05"/>
      <c r="B155" s="306"/>
      <c r="C155" s="306"/>
      <c r="D155" s="306"/>
      <c r="E155" s="307"/>
      <c r="F155" s="306"/>
      <c r="G155" s="306"/>
      <c r="H155" s="306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05"/>
      <c r="B156" s="306"/>
      <c r="C156" s="306"/>
      <c r="D156" s="306"/>
      <c r="E156" s="307"/>
      <c r="F156" s="306"/>
      <c r="G156" s="306"/>
      <c r="H156" s="306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05"/>
      <c r="B157" s="306"/>
      <c r="C157" s="306"/>
      <c r="D157" s="306"/>
      <c r="E157" s="307"/>
      <c r="F157" s="306"/>
      <c r="G157" s="306"/>
      <c r="H157" s="306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05"/>
      <c r="B158" s="306"/>
      <c r="C158" s="306"/>
      <c r="D158" s="306"/>
      <c r="E158" s="307"/>
      <c r="F158" s="306"/>
      <c r="G158" s="306"/>
      <c r="H158" s="306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05"/>
      <c r="B159" s="306"/>
      <c r="C159" s="306"/>
      <c r="D159" s="306"/>
      <c r="E159" s="307"/>
      <c r="F159" s="306"/>
      <c r="G159" s="306"/>
      <c r="H159" s="306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05"/>
      <c r="B160" s="306"/>
      <c r="C160" s="306"/>
      <c r="D160" s="306"/>
      <c r="E160" s="307"/>
      <c r="F160" s="306"/>
      <c r="G160" s="306"/>
      <c r="H160" s="306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05"/>
      <c r="B161" s="306"/>
      <c r="C161" s="306"/>
      <c r="D161" s="306"/>
      <c r="E161" s="307"/>
      <c r="F161" s="306"/>
      <c r="G161" s="306"/>
      <c r="H161" s="306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05"/>
      <c r="B162" s="306"/>
      <c r="C162" s="306"/>
      <c r="D162" s="306"/>
      <c r="E162" s="307"/>
      <c r="F162" s="306"/>
      <c r="G162" s="306"/>
      <c r="H162" s="306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05"/>
      <c r="B163" s="306"/>
      <c r="C163" s="306"/>
      <c r="D163" s="306"/>
      <c r="E163" s="307"/>
      <c r="F163" s="306"/>
      <c r="G163" s="306"/>
      <c r="H163" s="306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05"/>
      <c r="B164" s="306"/>
      <c r="C164" s="306"/>
      <c r="D164" s="306"/>
      <c r="E164" s="307"/>
      <c r="F164" s="306"/>
      <c r="G164" s="306"/>
      <c r="H164" s="306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05"/>
      <c r="B165" s="306"/>
      <c r="C165" s="306"/>
      <c r="D165" s="306"/>
      <c r="E165" s="307"/>
      <c r="F165" s="306"/>
      <c r="G165" s="306"/>
      <c r="H165" s="306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05"/>
      <c r="B166" s="306"/>
      <c r="C166" s="306"/>
      <c r="D166" s="306"/>
      <c r="E166" s="307"/>
      <c r="F166" s="306"/>
      <c r="G166" s="306"/>
      <c r="H166" s="306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05"/>
      <c r="B167" s="306"/>
      <c r="C167" s="306"/>
      <c r="D167" s="306"/>
      <c r="E167" s="307"/>
      <c r="F167" s="306"/>
      <c r="G167" s="306"/>
      <c r="H167" s="306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05"/>
      <c r="B168" s="306"/>
      <c r="C168" s="306"/>
      <c r="D168" s="306"/>
      <c r="E168" s="307"/>
      <c r="F168" s="306"/>
      <c r="G168" s="306"/>
      <c r="H168" s="306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05"/>
      <c r="B169" s="306"/>
      <c r="C169" s="306"/>
      <c r="D169" s="306"/>
      <c r="E169" s="307"/>
      <c r="F169" s="306"/>
      <c r="G169" s="306"/>
      <c r="H169" s="306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05"/>
      <c r="B170" s="306"/>
      <c r="C170" s="306"/>
      <c r="D170" s="306"/>
      <c r="E170" s="307"/>
      <c r="F170" s="306"/>
      <c r="G170" s="306"/>
      <c r="H170" s="306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05"/>
      <c r="B171" s="306"/>
      <c r="C171" s="306"/>
      <c r="D171" s="306"/>
      <c r="E171" s="307"/>
      <c r="F171" s="306"/>
      <c r="G171" s="306"/>
      <c r="H171" s="306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05"/>
      <c r="B172" s="306"/>
      <c r="C172" s="306"/>
      <c r="D172" s="306"/>
      <c r="E172" s="307"/>
      <c r="F172" s="306"/>
      <c r="G172" s="306"/>
      <c r="H172" s="306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05"/>
      <c r="B173" s="306"/>
      <c r="C173" s="306"/>
      <c r="D173" s="306"/>
      <c r="E173" s="307"/>
      <c r="F173" s="306"/>
      <c r="G173" s="306"/>
      <c r="H173" s="306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05"/>
      <c r="B174" s="306"/>
      <c r="C174" s="306"/>
      <c r="D174" s="306"/>
      <c r="E174" s="307"/>
      <c r="F174" s="306"/>
      <c r="G174" s="306"/>
      <c r="H174" s="306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05"/>
      <c r="B175" s="306"/>
      <c r="C175" s="306"/>
      <c r="D175" s="306"/>
      <c r="E175" s="307"/>
      <c r="F175" s="306"/>
      <c r="G175" s="306"/>
      <c r="H175" s="306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05"/>
      <c r="B176" s="306"/>
      <c r="C176" s="306"/>
      <c r="D176" s="306"/>
      <c r="E176" s="307"/>
      <c r="F176" s="306"/>
      <c r="G176" s="306"/>
      <c r="H176" s="306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05"/>
      <c r="B177" s="306"/>
      <c r="C177" s="306"/>
      <c r="D177" s="306"/>
      <c r="E177" s="307"/>
      <c r="F177" s="306"/>
      <c r="G177" s="306"/>
      <c r="H177" s="306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05"/>
      <c r="B178" s="306"/>
      <c r="C178" s="306"/>
      <c r="D178" s="306"/>
      <c r="E178" s="307"/>
      <c r="F178" s="306"/>
      <c r="G178" s="306"/>
      <c r="H178" s="306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05"/>
      <c r="B179" s="306"/>
      <c r="C179" s="306"/>
      <c r="D179" s="306"/>
      <c r="E179" s="307"/>
      <c r="F179" s="306"/>
      <c r="G179" s="306"/>
      <c r="H179" s="306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05"/>
      <c r="B180" s="306"/>
      <c r="C180" s="306"/>
      <c r="D180" s="306"/>
      <c r="E180" s="307"/>
      <c r="F180" s="306"/>
      <c r="G180" s="306"/>
      <c r="H180" s="306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05"/>
      <c r="B181" s="306"/>
      <c r="C181" s="306"/>
      <c r="D181" s="306"/>
      <c r="E181" s="307"/>
      <c r="F181" s="306"/>
      <c r="G181" s="306"/>
      <c r="H181" s="306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05"/>
      <c r="B182" s="306"/>
      <c r="C182" s="306"/>
      <c r="D182" s="306"/>
      <c r="E182" s="307"/>
      <c r="F182" s="306"/>
      <c r="G182" s="306"/>
      <c r="H182" s="306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05"/>
      <c r="B183" s="306"/>
      <c r="C183" s="306"/>
      <c r="D183" s="306"/>
      <c r="E183" s="307"/>
      <c r="F183" s="306"/>
      <c r="G183" s="306"/>
      <c r="H183" s="306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05"/>
      <c r="B184" s="306"/>
      <c r="C184" s="306"/>
      <c r="D184" s="306"/>
      <c r="E184" s="307"/>
      <c r="F184" s="306"/>
      <c r="G184" s="306"/>
      <c r="H184" s="306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05"/>
      <c r="B185" s="306"/>
      <c r="C185" s="306"/>
      <c r="D185" s="306"/>
      <c r="E185" s="307"/>
      <c r="F185" s="306"/>
      <c r="G185" s="306"/>
      <c r="H185" s="306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05"/>
      <c r="B186" s="306"/>
      <c r="C186" s="306"/>
      <c r="D186" s="306"/>
      <c r="E186" s="307"/>
      <c r="F186" s="306"/>
      <c r="G186" s="306"/>
      <c r="H186" s="306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05"/>
      <c r="B187" s="306"/>
      <c r="C187" s="306"/>
      <c r="D187" s="306"/>
      <c r="E187" s="307"/>
      <c r="F187" s="306"/>
      <c r="G187" s="306"/>
      <c r="H187" s="306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05"/>
      <c r="B188" s="306"/>
      <c r="C188" s="306"/>
      <c r="D188" s="306"/>
      <c r="E188" s="307"/>
      <c r="F188" s="306"/>
      <c r="G188" s="306"/>
      <c r="H188" s="306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05"/>
      <c r="B189" s="306"/>
      <c r="C189" s="306"/>
      <c r="D189" s="306"/>
      <c r="E189" s="307"/>
      <c r="F189" s="306"/>
      <c r="G189" s="306"/>
      <c r="H189" s="306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05"/>
      <c r="B190" s="306"/>
      <c r="C190" s="306"/>
      <c r="D190" s="306"/>
      <c r="E190" s="307"/>
      <c r="F190" s="306"/>
      <c r="G190" s="306"/>
      <c r="H190" s="306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05"/>
      <c r="B191" s="306"/>
      <c r="C191" s="306"/>
      <c r="D191" s="306"/>
      <c r="E191" s="307"/>
      <c r="F191" s="306"/>
      <c r="G191" s="306"/>
      <c r="H191" s="306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05"/>
      <c r="B192" s="306"/>
      <c r="C192" s="306"/>
      <c r="D192" s="306"/>
      <c r="E192" s="307"/>
      <c r="F192" s="306"/>
      <c r="G192" s="306"/>
      <c r="H192" s="306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05"/>
      <c r="B193" s="306"/>
      <c r="C193" s="306"/>
      <c r="D193" s="306"/>
      <c r="E193" s="307"/>
      <c r="F193" s="306"/>
      <c r="G193" s="306"/>
      <c r="H193" s="306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05"/>
      <c r="B194" s="306"/>
      <c r="C194" s="306"/>
      <c r="D194" s="306"/>
      <c r="E194" s="307"/>
      <c r="F194" s="306"/>
      <c r="G194" s="306"/>
      <c r="H194" s="306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05"/>
      <c r="B195" s="306"/>
      <c r="C195" s="306"/>
      <c r="D195" s="306"/>
      <c r="E195" s="307"/>
      <c r="F195" s="306"/>
      <c r="G195" s="306"/>
      <c r="H195" s="306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05"/>
      <c r="B196" s="306"/>
      <c r="C196" s="306"/>
      <c r="D196" s="306"/>
      <c r="E196" s="307"/>
      <c r="F196" s="306"/>
      <c r="G196" s="306"/>
      <c r="H196" s="306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05"/>
      <c r="B197" s="306"/>
      <c r="C197" s="306"/>
      <c r="D197" s="306"/>
      <c r="E197" s="307"/>
      <c r="F197" s="306"/>
      <c r="G197" s="306"/>
      <c r="H197" s="306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05"/>
      <c r="B198" s="306"/>
      <c r="C198" s="306"/>
      <c r="D198" s="306"/>
      <c r="E198" s="307"/>
      <c r="F198" s="306"/>
      <c r="G198" s="306"/>
      <c r="H198" s="306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05"/>
      <c r="B199" s="306"/>
      <c r="C199" s="306"/>
      <c r="D199" s="306"/>
      <c r="E199" s="307"/>
      <c r="F199" s="306"/>
      <c r="G199" s="306"/>
      <c r="H199" s="306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05"/>
      <c r="B200" s="306"/>
      <c r="C200" s="306"/>
      <c r="D200" s="306"/>
      <c r="E200" s="307"/>
      <c r="F200" s="306"/>
      <c r="G200" s="306"/>
      <c r="H200" s="306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05"/>
      <c r="B201" s="306"/>
      <c r="C201" s="306"/>
      <c r="D201" s="306"/>
      <c r="E201" s="307"/>
      <c r="F201" s="306"/>
      <c r="G201" s="306"/>
      <c r="H201" s="306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05"/>
      <c r="B202" s="306"/>
      <c r="C202" s="306"/>
      <c r="D202" s="306"/>
      <c r="E202" s="307"/>
      <c r="F202" s="306"/>
      <c r="G202" s="306"/>
      <c r="H202" s="306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05"/>
      <c r="B203" s="306"/>
      <c r="C203" s="306"/>
      <c r="D203" s="306"/>
      <c r="E203" s="307"/>
      <c r="F203" s="306"/>
      <c r="G203" s="306"/>
      <c r="H203" s="306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05"/>
      <c r="B204" s="306"/>
      <c r="C204" s="306"/>
      <c r="D204" s="306"/>
      <c r="E204" s="307"/>
      <c r="F204" s="306"/>
      <c r="G204" s="306"/>
      <c r="H204" s="306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05"/>
      <c r="B205" s="306"/>
      <c r="C205" s="306"/>
      <c r="D205" s="306"/>
      <c r="E205" s="307"/>
      <c r="F205" s="306"/>
      <c r="G205" s="306"/>
      <c r="H205" s="306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05"/>
      <c r="B206" s="306"/>
      <c r="C206" s="306"/>
      <c r="D206" s="306"/>
      <c r="E206" s="307"/>
      <c r="F206" s="306"/>
      <c r="G206" s="306"/>
      <c r="H206" s="306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05"/>
      <c r="B207" s="306"/>
      <c r="C207" s="306"/>
      <c r="D207" s="306"/>
      <c r="E207" s="307"/>
      <c r="F207" s="306"/>
      <c r="G207" s="306"/>
      <c r="H207" s="306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05"/>
      <c r="B208" s="306"/>
      <c r="C208" s="306"/>
      <c r="D208" s="306"/>
      <c r="E208" s="307"/>
      <c r="F208" s="306"/>
      <c r="G208" s="306"/>
      <c r="H208" s="306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05"/>
      <c r="B209" s="306"/>
      <c r="C209" s="306"/>
      <c r="D209" s="306"/>
      <c r="E209" s="307"/>
      <c r="F209" s="306"/>
      <c r="G209" s="306"/>
      <c r="H209" s="306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05"/>
      <c r="B210" s="306"/>
      <c r="C210" s="306"/>
      <c r="D210" s="306"/>
      <c r="E210" s="307"/>
      <c r="F210" s="306"/>
      <c r="G210" s="306"/>
      <c r="H210" s="306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05"/>
      <c r="B211" s="306"/>
      <c r="C211" s="306"/>
      <c r="D211" s="306"/>
      <c r="E211" s="307"/>
      <c r="F211" s="306"/>
      <c r="G211" s="306"/>
      <c r="H211" s="306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05"/>
      <c r="B212" s="306"/>
      <c r="C212" s="306"/>
      <c r="D212" s="306"/>
      <c r="E212" s="307"/>
      <c r="F212" s="306"/>
      <c r="G212" s="306"/>
      <c r="H212" s="306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05"/>
      <c r="B213" s="306"/>
      <c r="C213" s="306"/>
      <c r="D213" s="306"/>
      <c r="E213" s="307"/>
      <c r="F213" s="306"/>
      <c r="G213" s="306"/>
      <c r="H213" s="306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05"/>
      <c r="B214" s="306"/>
      <c r="C214" s="306"/>
      <c r="D214" s="306"/>
      <c r="E214" s="307"/>
      <c r="F214" s="306"/>
      <c r="G214" s="306"/>
      <c r="H214" s="306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05"/>
      <c r="B215" s="306"/>
      <c r="C215" s="306"/>
      <c r="D215" s="306"/>
      <c r="E215" s="307"/>
      <c r="F215" s="306"/>
      <c r="G215" s="306"/>
      <c r="H215" s="306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05"/>
      <c r="B216" s="306"/>
      <c r="C216" s="306"/>
      <c r="D216" s="306"/>
      <c r="E216" s="307"/>
      <c r="F216" s="306"/>
      <c r="G216" s="306"/>
      <c r="H216" s="306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05"/>
      <c r="B217" s="306"/>
      <c r="C217" s="306"/>
      <c r="D217" s="306"/>
      <c r="E217" s="307"/>
      <c r="F217" s="306"/>
      <c r="G217" s="306"/>
      <c r="H217" s="306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05"/>
      <c r="B218" s="306"/>
      <c r="C218" s="306"/>
      <c r="D218" s="306"/>
      <c r="E218" s="307"/>
      <c r="F218" s="306"/>
      <c r="G218" s="306"/>
      <c r="H218" s="306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05"/>
      <c r="B219" s="306"/>
      <c r="C219" s="306"/>
      <c r="D219" s="306"/>
      <c r="E219" s="307"/>
      <c r="F219" s="306"/>
      <c r="G219" s="306"/>
      <c r="H219" s="306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05"/>
      <c r="B220" s="306"/>
      <c r="C220" s="306"/>
      <c r="D220" s="306"/>
      <c r="E220" s="307"/>
      <c r="F220" s="306"/>
      <c r="G220" s="306"/>
      <c r="H220" s="306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05"/>
      <c r="B221" s="306"/>
      <c r="C221" s="306"/>
      <c r="D221" s="306"/>
      <c r="E221" s="307"/>
      <c r="F221" s="306"/>
      <c r="G221" s="306"/>
      <c r="H221" s="306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05"/>
      <c r="B222" s="306"/>
      <c r="C222" s="306"/>
      <c r="D222" s="306"/>
      <c r="E222" s="307"/>
      <c r="F222" s="306"/>
      <c r="G222" s="306"/>
      <c r="H222" s="306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05"/>
      <c r="B223" s="306"/>
      <c r="C223" s="306"/>
      <c r="D223" s="306"/>
      <c r="E223" s="307"/>
      <c r="F223" s="306"/>
      <c r="G223" s="306"/>
      <c r="H223" s="306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05"/>
      <c r="B224" s="306"/>
      <c r="C224" s="306"/>
      <c r="D224" s="306"/>
      <c r="E224" s="307"/>
      <c r="F224" s="306"/>
      <c r="G224" s="306"/>
      <c r="H224" s="306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05"/>
      <c r="B225" s="306"/>
      <c r="C225" s="306"/>
      <c r="D225" s="306"/>
      <c r="E225" s="307"/>
      <c r="F225" s="306"/>
      <c r="G225" s="306"/>
      <c r="H225" s="306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05"/>
      <c r="B226" s="306"/>
      <c r="C226" s="306"/>
      <c r="D226" s="306"/>
      <c r="E226" s="307"/>
      <c r="F226" s="306"/>
      <c r="G226" s="306"/>
      <c r="H226" s="306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05"/>
      <c r="B227" s="306"/>
      <c r="C227" s="306"/>
      <c r="D227" s="306"/>
      <c r="E227" s="307"/>
      <c r="F227" s="306"/>
      <c r="G227" s="306"/>
      <c r="H227" s="306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05"/>
      <c r="B228" s="306"/>
      <c r="C228" s="306"/>
      <c r="D228" s="306"/>
      <c r="E228" s="307"/>
      <c r="F228" s="306"/>
      <c r="G228" s="306"/>
      <c r="H228" s="306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05"/>
      <c r="B229" s="306"/>
      <c r="C229" s="306"/>
      <c r="D229" s="306"/>
      <c r="E229" s="307"/>
      <c r="F229" s="306"/>
      <c r="G229" s="306"/>
      <c r="H229" s="306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05"/>
      <c r="B230" s="306"/>
      <c r="C230" s="306"/>
      <c r="D230" s="306"/>
      <c r="E230" s="307"/>
      <c r="F230" s="306"/>
      <c r="G230" s="306"/>
      <c r="H230" s="306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05"/>
      <c r="B231" s="306"/>
      <c r="C231" s="306"/>
      <c r="D231" s="306"/>
      <c r="E231" s="307"/>
      <c r="F231" s="306"/>
      <c r="G231" s="306"/>
      <c r="H231" s="306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05"/>
      <c r="B232" s="306"/>
      <c r="C232" s="306"/>
      <c r="D232" s="306"/>
      <c r="E232" s="307"/>
      <c r="F232" s="306"/>
      <c r="G232" s="306"/>
      <c r="H232" s="306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05"/>
      <c r="B233" s="306"/>
      <c r="C233" s="306"/>
      <c r="D233" s="306"/>
      <c r="E233" s="307"/>
      <c r="F233" s="306"/>
      <c r="G233" s="306"/>
      <c r="H233" s="306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05"/>
      <c r="B234" s="306"/>
      <c r="C234" s="306"/>
      <c r="D234" s="306"/>
      <c r="E234" s="307"/>
      <c r="F234" s="306"/>
      <c r="G234" s="306"/>
      <c r="H234" s="306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05"/>
      <c r="B235" s="306"/>
      <c r="C235" s="306"/>
      <c r="D235" s="306"/>
      <c r="E235" s="307"/>
      <c r="F235" s="306"/>
      <c r="G235" s="306"/>
      <c r="H235" s="306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05"/>
      <c r="B236" s="306"/>
      <c r="C236" s="306"/>
      <c r="D236" s="306"/>
      <c r="E236" s="307"/>
      <c r="F236" s="306"/>
      <c r="G236" s="306"/>
      <c r="H236" s="306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05"/>
      <c r="B237" s="306"/>
      <c r="C237" s="306"/>
      <c r="D237" s="306"/>
      <c r="E237" s="307"/>
      <c r="F237" s="306"/>
      <c r="G237" s="306"/>
      <c r="H237" s="306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05"/>
      <c r="B238" s="306"/>
      <c r="C238" s="306"/>
      <c r="D238" s="306"/>
      <c r="E238" s="307"/>
      <c r="F238" s="306"/>
      <c r="G238" s="306"/>
      <c r="H238" s="306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05"/>
      <c r="B239" s="306"/>
      <c r="C239" s="306"/>
      <c r="D239" s="306"/>
      <c r="E239" s="307"/>
      <c r="F239" s="306"/>
      <c r="G239" s="306"/>
      <c r="H239" s="306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05"/>
      <c r="B240" s="306"/>
      <c r="C240" s="306"/>
      <c r="D240" s="306"/>
      <c r="E240" s="307"/>
      <c r="F240" s="306"/>
      <c r="G240" s="306"/>
      <c r="H240" s="306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05"/>
      <c r="B241" s="306"/>
      <c r="C241" s="306"/>
      <c r="D241" s="306"/>
      <c r="E241" s="307"/>
      <c r="F241" s="306"/>
      <c r="G241" s="306"/>
      <c r="H241" s="306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05"/>
      <c r="B242" s="306"/>
      <c r="C242" s="306"/>
      <c r="D242" s="306"/>
      <c r="E242" s="307"/>
      <c r="F242" s="306"/>
      <c r="G242" s="306"/>
      <c r="H242" s="306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05"/>
      <c r="B243" s="306"/>
      <c r="C243" s="306"/>
      <c r="D243" s="306"/>
      <c r="E243" s="307"/>
      <c r="F243" s="306"/>
      <c r="G243" s="306"/>
      <c r="H243" s="306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05"/>
      <c r="B244" s="306"/>
      <c r="C244" s="306"/>
      <c r="D244" s="306"/>
      <c r="E244" s="307"/>
      <c r="F244" s="306"/>
      <c r="G244" s="306"/>
      <c r="H244" s="306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05"/>
      <c r="B245" s="306"/>
      <c r="C245" s="306"/>
      <c r="D245" s="306"/>
      <c r="E245" s="307"/>
      <c r="F245" s="306"/>
      <c r="G245" s="306"/>
      <c r="H245" s="306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05"/>
      <c r="B246" s="306"/>
      <c r="C246" s="306"/>
      <c r="D246" s="306"/>
      <c r="E246" s="307"/>
      <c r="F246" s="306"/>
      <c r="G246" s="306"/>
      <c r="H246" s="306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05"/>
      <c r="B247" s="306"/>
      <c r="C247" s="306"/>
      <c r="D247" s="306"/>
      <c r="E247" s="307"/>
      <c r="F247" s="306"/>
      <c r="G247" s="306"/>
      <c r="H247" s="306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05"/>
      <c r="B248" s="306"/>
      <c r="C248" s="306"/>
      <c r="D248" s="306"/>
      <c r="E248" s="307"/>
      <c r="F248" s="306"/>
      <c r="G248" s="306"/>
      <c r="H248" s="306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05"/>
      <c r="B249" s="306"/>
      <c r="C249" s="306"/>
      <c r="D249" s="306"/>
      <c r="E249" s="307"/>
      <c r="F249" s="306"/>
      <c r="G249" s="306"/>
      <c r="H249" s="306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05"/>
      <c r="B250" s="306"/>
      <c r="C250" s="306"/>
      <c r="D250" s="306"/>
      <c r="E250" s="307"/>
      <c r="F250" s="306"/>
      <c r="G250" s="306"/>
      <c r="H250" s="306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05"/>
      <c r="B251" s="306"/>
      <c r="C251" s="306"/>
      <c r="D251" s="306"/>
      <c r="E251" s="307"/>
      <c r="F251" s="306"/>
      <c r="G251" s="306"/>
      <c r="H251" s="306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05"/>
      <c r="B252" s="306"/>
      <c r="C252" s="306"/>
      <c r="D252" s="306"/>
      <c r="E252" s="307"/>
      <c r="F252" s="306"/>
      <c r="G252" s="306"/>
      <c r="H252" s="306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05"/>
      <c r="B253" s="306"/>
      <c r="C253" s="306"/>
      <c r="D253" s="306"/>
      <c r="E253" s="307"/>
      <c r="F253" s="306"/>
      <c r="G253" s="306"/>
      <c r="H253" s="306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05"/>
      <c r="B254" s="306"/>
      <c r="C254" s="306"/>
      <c r="D254" s="306"/>
      <c r="E254" s="307"/>
      <c r="F254" s="306"/>
      <c r="G254" s="306"/>
      <c r="H254" s="306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05"/>
      <c r="B255" s="306"/>
      <c r="C255" s="306"/>
      <c r="D255" s="306"/>
      <c r="E255" s="307"/>
      <c r="F255" s="306"/>
      <c r="G255" s="306"/>
      <c r="H255" s="306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05"/>
      <c r="B256" s="306"/>
      <c r="C256" s="306"/>
      <c r="D256" s="306"/>
      <c r="E256" s="307"/>
      <c r="F256" s="306"/>
      <c r="G256" s="306"/>
      <c r="H256" s="306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05"/>
      <c r="B257" s="306"/>
      <c r="C257" s="306"/>
      <c r="D257" s="306"/>
      <c r="E257" s="307"/>
      <c r="F257" s="306"/>
      <c r="G257" s="306"/>
      <c r="H257" s="306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05"/>
      <c r="B258" s="306"/>
      <c r="C258" s="306"/>
      <c r="D258" s="306"/>
      <c r="E258" s="307"/>
      <c r="F258" s="306"/>
      <c r="G258" s="306"/>
      <c r="H258" s="306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05"/>
      <c r="B259" s="306"/>
      <c r="C259" s="306"/>
      <c r="D259" s="306"/>
      <c r="E259" s="307"/>
      <c r="F259" s="306"/>
      <c r="G259" s="306"/>
      <c r="H259" s="306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05"/>
      <c r="B260" s="306"/>
      <c r="C260" s="306"/>
      <c r="D260" s="306"/>
      <c r="E260" s="307"/>
      <c r="F260" s="306"/>
      <c r="G260" s="306"/>
      <c r="H260" s="306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05"/>
      <c r="B261" s="306"/>
      <c r="C261" s="306"/>
      <c r="D261" s="306"/>
      <c r="E261" s="307"/>
      <c r="F261" s="306"/>
      <c r="G261" s="306"/>
      <c r="H261" s="306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05"/>
      <c r="B262" s="306"/>
      <c r="C262" s="306"/>
      <c r="D262" s="306"/>
      <c r="E262" s="307"/>
      <c r="F262" s="306"/>
      <c r="G262" s="306"/>
      <c r="H262" s="306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05"/>
      <c r="B263" s="306"/>
      <c r="C263" s="306"/>
      <c r="D263" s="306"/>
      <c r="E263" s="307"/>
      <c r="F263" s="306"/>
      <c r="G263" s="306"/>
      <c r="H263" s="306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05"/>
      <c r="B264" s="306"/>
      <c r="C264" s="306"/>
      <c r="D264" s="306"/>
      <c r="E264" s="307"/>
      <c r="F264" s="306"/>
      <c r="G264" s="306"/>
      <c r="H264" s="306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05"/>
      <c r="B265" s="306"/>
      <c r="C265" s="306"/>
      <c r="D265" s="306"/>
      <c r="E265" s="307"/>
      <c r="F265" s="306"/>
      <c r="G265" s="306"/>
      <c r="H265" s="306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05"/>
      <c r="B266" s="306"/>
      <c r="C266" s="306"/>
      <c r="D266" s="306"/>
      <c r="E266" s="307"/>
      <c r="F266" s="306"/>
      <c r="G266" s="306"/>
      <c r="H266" s="306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05"/>
      <c r="B267" s="306"/>
      <c r="C267" s="306"/>
      <c r="D267" s="306"/>
      <c r="E267" s="307"/>
      <c r="F267" s="306"/>
      <c r="G267" s="306"/>
      <c r="H267" s="306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05"/>
      <c r="B268" s="306"/>
      <c r="C268" s="306"/>
      <c r="D268" s="306"/>
      <c r="E268" s="307"/>
      <c r="F268" s="306"/>
      <c r="G268" s="306"/>
      <c r="H268" s="306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05"/>
      <c r="B269" s="306"/>
      <c r="C269" s="306"/>
      <c r="D269" s="306"/>
      <c r="E269" s="307"/>
      <c r="F269" s="306"/>
      <c r="G269" s="306"/>
      <c r="H269" s="306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05"/>
      <c r="B270" s="306"/>
      <c r="C270" s="306"/>
      <c r="D270" s="306"/>
      <c r="E270" s="307"/>
      <c r="F270" s="306"/>
      <c r="G270" s="306"/>
      <c r="H270" s="306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05"/>
      <c r="B271" s="306"/>
      <c r="C271" s="306"/>
      <c r="D271" s="306"/>
      <c r="E271" s="307"/>
      <c r="F271" s="306"/>
      <c r="G271" s="306"/>
      <c r="H271" s="306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05"/>
      <c r="B272" s="306"/>
      <c r="C272" s="306"/>
      <c r="D272" s="306"/>
      <c r="E272" s="307"/>
      <c r="F272" s="306"/>
      <c r="G272" s="306"/>
      <c r="H272" s="306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05"/>
      <c r="B273" s="306"/>
      <c r="C273" s="306"/>
      <c r="D273" s="306"/>
      <c r="E273" s="307"/>
      <c r="F273" s="306"/>
      <c r="G273" s="306"/>
      <c r="H273" s="306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05"/>
      <c r="B274" s="306"/>
      <c r="C274" s="306"/>
      <c r="D274" s="306"/>
      <c r="E274" s="307"/>
      <c r="F274" s="306"/>
      <c r="G274" s="306"/>
      <c r="H274" s="306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05"/>
      <c r="B275" s="306"/>
      <c r="C275" s="306"/>
      <c r="D275" s="306"/>
      <c r="E275" s="307"/>
      <c r="F275" s="306"/>
      <c r="G275" s="306"/>
      <c r="H275" s="306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05"/>
      <c r="B276" s="306"/>
      <c r="C276" s="306"/>
      <c r="D276" s="306"/>
      <c r="E276" s="307"/>
      <c r="F276" s="306"/>
      <c r="G276" s="306"/>
      <c r="H276" s="306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05"/>
      <c r="B277" s="306"/>
      <c r="C277" s="306"/>
      <c r="D277" s="306"/>
      <c r="E277" s="307"/>
      <c r="F277" s="306"/>
      <c r="G277" s="306"/>
      <c r="H277" s="306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05"/>
      <c r="B278" s="306"/>
      <c r="C278" s="306"/>
      <c r="D278" s="306"/>
      <c r="E278" s="307"/>
      <c r="F278" s="306"/>
      <c r="G278" s="306"/>
      <c r="H278" s="306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05"/>
      <c r="B279" s="306"/>
      <c r="C279" s="306"/>
      <c r="D279" s="306"/>
      <c r="E279" s="307"/>
      <c r="F279" s="306"/>
      <c r="G279" s="306"/>
      <c r="H279" s="306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05"/>
      <c r="B280" s="306"/>
      <c r="C280" s="306"/>
      <c r="D280" s="306"/>
      <c r="E280" s="307"/>
      <c r="F280" s="306"/>
      <c r="G280" s="306"/>
      <c r="H280" s="306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05"/>
      <c r="B281" s="306"/>
      <c r="C281" s="306"/>
      <c r="D281" s="306"/>
      <c r="E281" s="307"/>
      <c r="F281" s="306"/>
      <c r="G281" s="306"/>
      <c r="H281" s="306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05"/>
      <c r="B282" s="306"/>
      <c r="C282" s="306"/>
      <c r="D282" s="306"/>
      <c r="E282" s="307"/>
      <c r="F282" s="306"/>
      <c r="G282" s="306"/>
      <c r="H282" s="306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05"/>
      <c r="B283" s="306"/>
      <c r="C283" s="306"/>
      <c r="D283" s="306"/>
      <c r="E283" s="307"/>
      <c r="F283" s="306"/>
      <c r="G283" s="306"/>
      <c r="H283" s="306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05"/>
      <c r="B284" s="306"/>
      <c r="C284" s="306"/>
      <c r="D284" s="306"/>
      <c r="E284" s="307"/>
      <c r="F284" s="306"/>
      <c r="G284" s="306"/>
      <c r="H284" s="306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05"/>
      <c r="B285" s="306"/>
      <c r="C285" s="306"/>
      <c r="D285" s="306"/>
      <c r="E285" s="307"/>
      <c r="F285" s="306"/>
      <c r="G285" s="306"/>
      <c r="H285" s="306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05"/>
      <c r="B286" s="306"/>
      <c r="C286" s="306"/>
      <c r="D286" s="306"/>
      <c r="E286" s="307"/>
      <c r="F286" s="306"/>
      <c r="G286" s="306"/>
      <c r="H286" s="306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05"/>
      <c r="B287" s="306"/>
      <c r="C287" s="306"/>
      <c r="D287" s="306"/>
      <c r="E287" s="307"/>
      <c r="F287" s="306"/>
      <c r="G287" s="306"/>
      <c r="H287" s="306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05"/>
      <c r="B288" s="306"/>
      <c r="C288" s="306"/>
      <c r="D288" s="306"/>
      <c r="E288" s="307"/>
      <c r="F288" s="306"/>
      <c r="G288" s="306"/>
      <c r="H288" s="306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05"/>
      <c r="B289" s="306"/>
      <c r="C289" s="306"/>
      <c r="D289" s="306"/>
      <c r="E289" s="307"/>
      <c r="F289" s="306"/>
      <c r="G289" s="306"/>
      <c r="H289" s="306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05"/>
      <c r="B290" s="306"/>
      <c r="C290" s="306"/>
      <c r="D290" s="306"/>
      <c r="E290" s="307"/>
      <c r="F290" s="306"/>
      <c r="G290" s="306"/>
      <c r="H290" s="306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05"/>
      <c r="B291" s="306"/>
      <c r="C291" s="306"/>
      <c r="D291" s="306"/>
      <c r="E291" s="307"/>
      <c r="F291" s="306"/>
      <c r="G291" s="306"/>
      <c r="H291" s="306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05"/>
      <c r="B292" s="306"/>
      <c r="C292" s="306"/>
      <c r="D292" s="306"/>
      <c r="E292" s="307"/>
      <c r="F292" s="306"/>
      <c r="G292" s="306"/>
      <c r="H292" s="306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05"/>
      <c r="B293" s="306"/>
      <c r="C293" s="306"/>
      <c r="D293" s="306"/>
      <c r="E293" s="307"/>
      <c r="F293" s="306"/>
      <c r="G293" s="306"/>
      <c r="H293" s="306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05"/>
      <c r="B294" s="306"/>
      <c r="C294" s="306"/>
      <c r="D294" s="306"/>
      <c r="E294" s="307"/>
      <c r="F294" s="306"/>
      <c r="G294" s="306"/>
      <c r="H294" s="306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05"/>
      <c r="B295" s="306"/>
      <c r="C295" s="306"/>
      <c r="D295" s="306"/>
      <c r="E295" s="307"/>
      <c r="F295" s="306"/>
      <c r="G295" s="306"/>
      <c r="H295" s="306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05"/>
      <c r="B296" s="306"/>
      <c r="C296" s="306"/>
      <c r="D296" s="306"/>
      <c r="E296" s="307"/>
      <c r="F296" s="306"/>
      <c r="G296" s="306"/>
      <c r="H296" s="306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05"/>
      <c r="B297" s="306"/>
      <c r="C297" s="306"/>
      <c r="D297" s="306"/>
      <c r="E297" s="307"/>
      <c r="F297" s="306"/>
      <c r="G297" s="306"/>
      <c r="H297" s="306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05"/>
      <c r="B298" s="306"/>
      <c r="C298" s="306"/>
      <c r="D298" s="306"/>
      <c r="E298" s="307"/>
      <c r="F298" s="306"/>
      <c r="G298" s="306"/>
      <c r="H298" s="306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05"/>
      <c r="B299" s="306"/>
      <c r="C299" s="306"/>
      <c r="D299" s="306"/>
      <c r="E299" s="307"/>
      <c r="F299" s="306"/>
      <c r="G299" s="306"/>
      <c r="H299" s="306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05"/>
      <c r="B300" s="306"/>
      <c r="C300" s="306"/>
      <c r="D300" s="306"/>
      <c r="E300" s="307"/>
      <c r="F300" s="306"/>
      <c r="G300" s="306"/>
      <c r="H300" s="306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05"/>
      <c r="B301" s="306"/>
      <c r="C301" s="306"/>
      <c r="D301" s="306"/>
      <c r="E301" s="307"/>
      <c r="F301" s="306"/>
      <c r="G301" s="306"/>
      <c r="H301" s="306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05"/>
      <c r="B302" s="306"/>
      <c r="C302" s="306"/>
      <c r="D302" s="306"/>
      <c r="E302" s="307"/>
      <c r="F302" s="306"/>
      <c r="G302" s="306"/>
      <c r="H302" s="306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05"/>
      <c r="B303" s="306"/>
      <c r="C303" s="306"/>
      <c r="D303" s="306"/>
      <c r="E303" s="307"/>
      <c r="F303" s="306"/>
      <c r="G303" s="306"/>
      <c r="H303" s="306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05"/>
      <c r="B304" s="306"/>
      <c r="C304" s="306"/>
      <c r="D304" s="306"/>
      <c r="E304" s="307"/>
      <c r="F304" s="306"/>
      <c r="G304" s="306"/>
      <c r="H304" s="306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05"/>
      <c r="B305" s="306"/>
      <c r="C305" s="306"/>
      <c r="D305" s="306"/>
      <c r="E305" s="307"/>
      <c r="F305" s="306"/>
      <c r="G305" s="306"/>
      <c r="H305" s="306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05"/>
      <c r="B306" s="306"/>
      <c r="C306" s="306"/>
      <c r="D306" s="306"/>
      <c r="E306" s="307"/>
      <c r="F306" s="306"/>
      <c r="G306" s="306"/>
      <c r="H306" s="306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05"/>
      <c r="B307" s="306"/>
      <c r="C307" s="306"/>
      <c r="D307" s="306"/>
      <c r="E307" s="307"/>
      <c r="F307" s="306"/>
      <c r="G307" s="306"/>
      <c r="H307" s="306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05"/>
      <c r="B308" s="306"/>
      <c r="C308" s="306"/>
      <c r="D308" s="306"/>
      <c r="E308" s="307"/>
      <c r="F308" s="306"/>
      <c r="G308" s="306"/>
      <c r="H308" s="306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05"/>
      <c r="B309" s="306"/>
      <c r="C309" s="306"/>
      <c r="D309" s="306"/>
      <c r="E309" s="307"/>
      <c r="F309" s="306"/>
      <c r="G309" s="306"/>
      <c r="H309" s="306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05"/>
      <c r="B310" s="306"/>
      <c r="C310" s="306"/>
      <c r="D310" s="306"/>
      <c r="E310" s="307"/>
      <c r="F310" s="306"/>
      <c r="G310" s="306"/>
      <c r="H310" s="306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05"/>
      <c r="B311" s="306"/>
      <c r="C311" s="306"/>
      <c r="D311" s="306"/>
      <c r="E311" s="307"/>
      <c r="F311" s="306"/>
      <c r="G311" s="306"/>
      <c r="H311" s="306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05"/>
      <c r="B312" s="306"/>
      <c r="C312" s="306"/>
      <c r="D312" s="306"/>
      <c r="E312" s="307"/>
      <c r="F312" s="306"/>
      <c r="G312" s="306"/>
      <c r="H312" s="306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05"/>
      <c r="B313" s="306"/>
      <c r="C313" s="306"/>
      <c r="D313" s="306"/>
      <c r="E313" s="307"/>
      <c r="F313" s="306"/>
      <c r="G313" s="306"/>
      <c r="H313" s="306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05"/>
      <c r="B314" s="306"/>
      <c r="C314" s="306"/>
      <c r="D314" s="306"/>
      <c r="E314" s="307"/>
      <c r="F314" s="306"/>
      <c r="G314" s="306"/>
      <c r="H314" s="306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05"/>
      <c r="B315" s="306"/>
      <c r="C315" s="306"/>
      <c r="D315" s="306"/>
      <c r="E315" s="307"/>
      <c r="F315" s="306"/>
      <c r="G315" s="306"/>
      <c r="H315" s="306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05"/>
      <c r="B316" s="306"/>
      <c r="C316" s="306"/>
      <c r="D316" s="306"/>
      <c r="E316" s="307"/>
      <c r="F316" s="306"/>
      <c r="G316" s="306"/>
      <c r="H316" s="306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05"/>
      <c r="B317" s="306"/>
      <c r="C317" s="306"/>
      <c r="D317" s="306"/>
      <c r="E317" s="307"/>
      <c r="F317" s="306"/>
      <c r="G317" s="306"/>
      <c r="H317" s="306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05"/>
      <c r="B318" s="306"/>
      <c r="C318" s="306"/>
      <c r="D318" s="306"/>
      <c r="E318" s="307"/>
      <c r="F318" s="306"/>
      <c r="G318" s="306"/>
      <c r="H318" s="306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05"/>
      <c r="B319" s="306"/>
      <c r="C319" s="306"/>
      <c r="D319" s="306"/>
      <c r="E319" s="307"/>
      <c r="F319" s="306"/>
      <c r="G319" s="306"/>
      <c r="H319" s="306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05"/>
      <c r="B320" s="306"/>
      <c r="C320" s="306"/>
      <c r="D320" s="306"/>
      <c r="E320" s="307"/>
      <c r="F320" s="306"/>
      <c r="G320" s="306"/>
      <c r="H320" s="306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05"/>
      <c r="B321" s="306"/>
      <c r="C321" s="306"/>
      <c r="D321" s="306"/>
      <c r="E321" s="307"/>
      <c r="F321" s="306"/>
      <c r="G321" s="306"/>
      <c r="H321" s="306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05"/>
      <c r="B322" s="306"/>
      <c r="C322" s="306"/>
      <c r="D322" s="306"/>
      <c r="E322" s="307"/>
      <c r="F322" s="306"/>
      <c r="G322" s="306"/>
      <c r="H322" s="306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05"/>
      <c r="B323" s="306"/>
      <c r="C323" s="306"/>
      <c r="D323" s="306"/>
      <c r="E323" s="307"/>
      <c r="F323" s="306"/>
      <c r="G323" s="306"/>
      <c r="H323" s="306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05"/>
      <c r="B324" s="306"/>
      <c r="C324" s="306"/>
      <c r="D324" s="306"/>
      <c r="E324" s="307"/>
      <c r="F324" s="306"/>
      <c r="G324" s="306"/>
      <c r="H324" s="306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05"/>
      <c r="B325" s="306"/>
      <c r="C325" s="306"/>
      <c r="D325" s="306"/>
      <c r="E325" s="307"/>
      <c r="F325" s="306"/>
      <c r="G325" s="306"/>
      <c r="H325" s="306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05"/>
      <c r="B326" s="306"/>
      <c r="C326" s="306"/>
      <c r="D326" s="306"/>
      <c r="E326" s="307"/>
      <c r="F326" s="306"/>
      <c r="G326" s="306"/>
      <c r="H326" s="306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05"/>
      <c r="B327" s="306"/>
      <c r="C327" s="306"/>
      <c r="D327" s="306"/>
      <c r="E327" s="307"/>
      <c r="F327" s="306"/>
      <c r="G327" s="306"/>
      <c r="H327" s="306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05"/>
      <c r="B328" s="306"/>
      <c r="C328" s="306"/>
      <c r="D328" s="306"/>
      <c r="E328" s="307"/>
      <c r="F328" s="306"/>
      <c r="G328" s="306"/>
      <c r="H328" s="306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05"/>
      <c r="B329" s="306"/>
      <c r="C329" s="306"/>
      <c r="D329" s="306"/>
      <c r="E329" s="307"/>
      <c r="F329" s="306"/>
      <c r="G329" s="306"/>
      <c r="H329" s="306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05"/>
      <c r="B330" s="306"/>
      <c r="C330" s="306"/>
      <c r="D330" s="306"/>
      <c r="E330" s="307"/>
      <c r="F330" s="306"/>
      <c r="G330" s="306"/>
      <c r="H330" s="306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05"/>
      <c r="B331" s="306"/>
      <c r="C331" s="306"/>
      <c r="D331" s="306"/>
      <c r="E331" s="307"/>
      <c r="F331" s="306"/>
      <c r="G331" s="306"/>
      <c r="H331" s="306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05"/>
      <c r="B332" s="306"/>
      <c r="C332" s="306"/>
      <c r="D332" s="306"/>
      <c r="E332" s="307"/>
      <c r="F332" s="306"/>
      <c r="G332" s="306"/>
      <c r="H332" s="306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05"/>
      <c r="B333" s="306"/>
      <c r="C333" s="306"/>
      <c r="D333" s="306"/>
      <c r="E333" s="307"/>
      <c r="F333" s="306"/>
      <c r="G333" s="306"/>
      <c r="H333" s="306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05"/>
      <c r="B334" s="306"/>
      <c r="C334" s="306"/>
      <c r="D334" s="306"/>
      <c r="E334" s="307"/>
      <c r="F334" s="306"/>
      <c r="G334" s="306"/>
      <c r="H334" s="306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05"/>
      <c r="B335" s="306"/>
      <c r="C335" s="306"/>
      <c r="D335" s="306"/>
      <c r="E335" s="307"/>
      <c r="F335" s="306"/>
      <c r="G335" s="306"/>
      <c r="H335" s="306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05"/>
      <c r="B336" s="306"/>
      <c r="C336" s="306"/>
      <c r="D336" s="306"/>
      <c r="E336" s="307"/>
      <c r="F336" s="306"/>
      <c r="G336" s="306"/>
      <c r="H336" s="306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05"/>
      <c r="B337" s="306"/>
      <c r="C337" s="306"/>
      <c r="D337" s="306"/>
      <c r="E337" s="307"/>
      <c r="F337" s="306"/>
      <c r="G337" s="306"/>
      <c r="H337" s="306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05"/>
      <c r="B338" s="306"/>
      <c r="C338" s="306"/>
      <c r="D338" s="306"/>
      <c r="E338" s="307"/>
      <c r="F338" s="306"/>
      <c r="G338" s="306"/>
      <c r="H338" s="306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05"/>
      <c r="B339" s="306"/>
      <c r="C339" s="306"/>
      <c r="D339" s="306"/>
      <c r="E339" s="307"/>
      <c r="F339" s="306"/>
      <c r="G339" s="306"/>
      <c r="H339" s="306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05"/>
      <c r="B340" s="306"/>
      <c r="C340" s="306"/>
      <c r="D340" s="306"/>
      <c r="E340" s="307"/>
      <c r="F340" s="306"/>
      <c r="G340" s="306"/>
      <c r="H340" s="306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05"/>
      <c r="B341" s="306"/>
      <c r="C341" s="306"/>
      <c r="D341" s="306"/>
      <c r="E341" s="307"/>
      <c r="F341" s="306"/>
      <c r="G341" s="306"/>
      <c r="H341" s="306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05"/>
      <c r="B342" s="306"/>
      <c r="C342" s="306"/>
      <c r="D342" s="306"/>
      <c r="E342" s="307"/>
      <c r="F342" s="306"/>
      <c r="G342" s="306"/>
      <c r="H342" s="306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05"/>
      <c r="B343" s="306"/>
      <c r="C343" s="306"/>
      <c r="D343" s="306"/>
      <c r="E343" s="307"/>
      <c r="F343" s="306"/>
      <c r="G343" s="306"/>
      <c r="H343" s="306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05"/>
      <c r="B344" s="306"/>
      <c r="C344" s="306"/>
      <c r="D344" s="306"/>
      <c r="E344" s="307"/>
      <c r="F344" s="306"/>
      <c r="G344" s="306"/>
      <c r="H344" s="306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05"/>
      <c r="B345" s="306"/>
      <c r="C345" s="306"/>
      <c r="D345" s="306"/>
      <c r="E345" s="307"/>
      <c r="F345" s="306"/>
      <c r="G345" s="306"/>
      <c r="H345" s="306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05"/>
      <c r="B346" s="306"/>
      <c r="C346" s="306"/>
      <c r="D346" s="306"/>
      <c r="E346" s="307"/>
      <c r="F346" s="306"/>
      <c r="G346" s="306"/>
      <c r="H346" s="306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05"/>
      <c r="B347" s="306"/>
      <c r="C347" s="306"/>
      <c r="D347" s="306"/>
      <c r="E347" s="307"/>
      <c r="F347" s="306"/>
      <c r="G347" s="306"/>
      <c r="H347" s="306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05"/>
      <c r="B348" s="306"/>
      <c r="C348" s="306"/>
      <c r="D348" s="306"/>
      <c r="E348" s="307"/>
      <c r="F348" s="306"/>
      <c r="G348" s="306"/>
      <c r="H348" s="306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05"/>
      <c r="B349" s="306"/>
      <c r="C349" s="306"/>
      <c r="D349" s="306"/>
      <c r="E349" s="307"/>
      <c r="F349" s="306"/>
      <c r="G349" s="306"/>
      <c r="H349" s="306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05"/>
      <c r="B350" s="306"/>
      <c r="C350" s="306"/>
      <c r="D350" s="306"/>
      <c r="E350" s="307"/>
      <c r="F350" s="306"/>
      <c r="G350" s="306"/>
      <c r="H350" s="306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05"/>
      <c r="B351" s="306"/>
      <c r="C351" s="306"/>
      <c r="D351" s="306"/>
      <c r="E351" s="307"/>
      <c r="F351" s="306"/>
      <c r="G351" s="306"/>
      <c r="H351" s="306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05"/>
      <c r="B352" s="306"/>
      <c r="C352" s="306"/>
      <c r="D352" s="306"/>
      <c r="E352" s="307"/>
      <c r="F352" s="306"/>
      <c r="G352" s="306"/>
      <c r="H352" s="306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05"/>
      <c r="B353" s="306"/>
      <c r="C353" s="306"/>
      <c r="D353" s="306"/>
      <c r="E353" s="307"/>
      <c r="F353" s="306"/>
      <c r="G353" s="306"/>
      <c r="H353" s="306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05"/>
      <c r="B354" s="306"/>
      <c r="C354" s="306"/>
      <c r="D354" s="306"/>
      <c r="E354" s="307"/>
      <c r="F354" s="306"/>
      <c r="G354" s="306"/>
      <c r="H354" s="306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05"/>
      <c r="B355" s="306"/>
      <c r="C355" s="306"/>
      <c r="D355" s="306"/>
      <c r="E355" s="307"/>
      <c r="F355" s="306"/>
      <c r="G355" s="306"/>
      <c r="H355" s="306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05"/>
      <c r="B356" s="306"/>
      <c r="C356" s="306"/>
      <c r="D356" s="306"/>
      <c r="E356" s="307"/>
      <c r="F356" s="306"/>
      <c r="G356" s="306"/>
      <c r="H356" s="306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05"/>
      <c r="B357" s="306"/>
      <c r="C357" s="306"/>
      <c r="D357" s="306"/>
      <c r="E357" s="307"/>
      <c r="F357" s="306"/>
      <c r="G357" s="306"/>
      <c r="H357" s="306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05"/>
      <c r="B358" s="306"/>
      <c r="C358" s="306"/>
      <c r="D358" s="306"/>
      <c r="E358" s="307"/>
      <c r="F358" s="306"/>
      <c r="G358" s="306"/>
      <c r="H358" s="306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05"/>
      <c r="B359" s="306"/>
      <c r="C359" s="306"/>
      <c r="D359" s="306"/>
      <c r="E359" s="307"/>
      <c r="F359" s="306"/>
      <c r="G359" s="306"/>
      <c r="H359" s="306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05"/>
      <c r="B360" s="306"/>
      <c r="C360" s="306"/>
      <c r="D360" s="306"/>
      <c r="E360" s="307"/>
      <c r="F360" s="306"/>
      <c r="G360" s="306"/>
      <c r="H360" s="306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05"/>
      <c r="B361" s="306"/>
      <c r="C361" s="306"/>
      <c r="D361" s="306"/>
      <c r="E361" s="307"/>
      <c r="F361" s="306"/>
      <c r="G361" s="306"/>
      <c r="H361" s="306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05"/>
      <c r="B362" s="306"/>
      <c r="C362" s="306"/>
      <c r="D362" s="306"/>
      <c r="E362" s="307"/>
      <c r="F362" s="306"/>
      <c r="G362" s="306"/>
      <c r="H362" s="306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05"/>
      <c r="B363" s="306"/>
      <c r="C363" s="306"/>
      <c r="D363" s="306"/>
      <c r="E363" s="307"/>
      <c r="F363" s="306"/>
      <c r="G363" s="306"/>
      <c r="H363" s="306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05"/>
      <c r="B364" s="306"/>
      <c r="C364" s="306"/>
      <c r="D364" s="306"/>
      <c r="E364" s="307"/>
      <c r="F364" s="306"/>
      <c r="G364" s="306"/>
      <c r="H364" s="306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05"/>
      <c r="B365" s="306"/>
      <c r="C365" s="306"/>
      <c r="D365" s="306"/>
      <c r="E365" s="307"/>
      <c r="F365" s="306"/>
      <c r="G365" s="306"/>
      <c r="H365" s="306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05"/>
      <c r="B366" s="306"/>
      <c r="C366" s="306"/>
      <c r="D366" s="306"/>
      <c r="E366" s="307"/>
      <c r="F366" s="306"/>
      <c r="G366" s="306"/>
      <c r="H366" s="306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05"/>
      <c r="B367" s="306"/>
      <c r="C367" s="306"/>
      <c r="D367" s="306"/>
      <c r="E367" s="307"/>
      <c r="F367" s="306"/>
      <c r="G367" s="306"/>
      <c r="H367" s="306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05"/>
      <c r="B368" s="306"/>
      <c r="C368" s="306"/>
      <c r="D368" s="306"/>
      <c r="E368" s="307"/>
      <c r="F368" s="306"/>
      <c r="G368" s="306"/>
      <c r="H368" s="306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05"/>
      <c r="B369" s="306"/>
      <c r="C369" s="306"/>
      <c r="D369" s="306"/>
      <c r="E369" s="307"/>
      <c r="F369" s="306"/>
      <c r="G369" s="306"/>
      <c r="H369" s="306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05"/>
      <c r="B370" s="306"/>
      <c r="C370" s="306"/>
      <c r="D370" s="306"/>
      <c r="E370" s="307"/>
      <c r="F370" s="306"/>
      <c r="G370" s="306"/>
      <c r="H370" s="306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05"/>
      <c r="B371" s="306"/>
      <c r="C371" s="306"/>
      <c r="D371" s="306"/>
      <c r="E371" s="307"/>
      <c r="F371" s="306"/>
      <c r="G371" s="306"/>
      <c r="H371" s="306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05"/>
      <c r="B372" s="306"/>
      <c r="C372" s="306"/>
      <c r="D372" s="306"/>
      <c r="E372" s="307"/>
      <c r="F372" s="306"/>
      <c r="G372" s="306"/>
      <c r="H372" s="306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05"/>
      <c r="B373" s="306"/>
      <c r="C373" s="306"/>
      <c r="D373" s="306"/>
      <c r="E373" s="307"/>
      <c r="F373" s="306"/>
      <c r="G373" s="306"/>
      <c r="H373" s="306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05"/>
      <c r="B374" s="306"/>
      <c r="C374" s="306"/>
      <c r="D374" s="306"/>
      <c r="E374" s="307"/>
      <c r="F374" s="306"/>
      <c r="G374" s="306"/>
      <c r="H374" s="306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05"/>
      <c r="B375" s="306"/>
      <c r="C375" s="306"/>
      <c r="D375" s="306"/>
      <c r="E375" s="307"/>
      <c r="F375" s="306"/>
      <c r="G375" s="306"/>
      <c r="H375" s="306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05"/>
      <c r="B376" s="306"/>
      <c r="C376" s="306"/>
      <c r="D376" s="306"/>
      <c r="E376" s="307"/>
      <c r="F376" s="306"/>
      <c r="G376" s="306"/>
      <c r="H376" s="306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05"/>
      <c r="B377" s="306"/>
      <c r="C377" s="306"/>
      <c r="D377" s="306"/>
      <c r="E377" s="307"/>
      <c r="F377" s="306"/>
      <c r="G377" s="306"/>
      <c r="H377" s="306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05"/>
      <c r="B378" s="306"/>
      <c r="C378" s="306"/>
      <c r="D378" s="306"/>
      <c r="E378" s="307"/>
      <c r="F378" s="306"/>
      <c r="G378" s="306"/>
      <c r="H378" s="306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05"/>
      <c r="B379" s="306"/>
      <c r="C379" s="306"/>
      <c r="D379" s="306"/>
      <c r="E379" s="307"/>
      <c r="F379" s="306"/>
      <c r="G379" s="306"/>
      <c r="H379" s="306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05"/>
      <c r="B380" s="306"/>
      <c r="C380" s="306"/>
      <c r="D380" s="306"/>
      <c r="E380" s="307"/>
      <c r="F380" s="306"/>
      <c r="G380" s="306"/>
      <c r="H380" s="306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05"/>
      <c r="B381" s="306"/>
      <c r="C381" s="306"/>
      <c r="D381" s="306"/>
      <c r="E381" s="307"/>
      <c r="F381" s="306"/>
      <c r="G381" s="306"/>
      <c r="H381" s="306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05"/>
      <c r="B382" s="306"/>
      <c r="C382" s="306"/>
      <c r="D382" s="306"/>
      <c r="E382" s="307"/>
      <c r="F382" s="306"/>
      <c r="G382" s="306"/>
      <c r="H382" s="306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05"/>
      <c r="B383" s="306"/>
      <c r="C383" s="306"/>
      <c r="D383" s="306"/>
      <c r="E383" s="307"/>
      <c r="F383" s="306"/>
      <c r="G383" s="306"/>
      <c r="H383" s="306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05"/>
      <c r="B384" s="306"/>
      <c r="C384" s="306"/>
      <c r="D384" s="306"/>
      <c r="E384" s="307"/>
      <c r="F384" s="306"/>
      <c r="G384" s="306"/>
      <c r="H384" s="306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05"/>
      <c r="B385" s="306"/>
      <c r="C385" s="306"/>
      <c r="D385" s="306"/>
      <c r="E385" s="307"/>
      <c r="F385" s="306"/>
      <c r="G385" s="306"/>
      <c r="H385" s="306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05"/>
      <c r="B386" s="306"/>
      <c r="C386" s="306"/>
      <c r="D386" s="306"/>
      <c r="E386" s="307"/>
      <c r="F386" s="306"/>
      <c r="G386" s="306"/>
      <c r="H386" s="306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05"/>
      <c r="B387" s="306"/>
      <c r="C387" s="306"/>
      <c r="D387" s="306"/>
      <c r="E387" s="307"/>
      <c r="F387" s="306"/>
      <c r="G387" s="306"/>
      <c r="H387" s="306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05"/>
      <c r="B388" s="306"/>
      <c r="C388" s="306"/>
      <c r="D388" s="306"/>
      <c r="E388" s="307"/>
      <c r="F388" s="306"/>
      <c r="G388" s="306"/>
      <c r="H388" s="306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05"/>
      <c r="B389" s="306"/>
      <c r="C389" s="306"/>
      <c r="D389" s="306"/>
      <c r="E389" s="307"/>
      <c r="F389" s="306"/>
      <c r="G389" s="306"/>
      <c r="H389" s="306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05"/>
      <c r="B390" s="306"/>
      <c r="C390" s="306"/>
      <c r="D390" s="306"/>
      <c r="E390" s="307"/>
      <c r="F390" s="306"/>
      <c r="G390" s="306"/>
      <c r="H390" s="306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05"/>
      <c r="B391" s="306"/>
      <c r="C391" s="306"/>
      <c r="D391" s="306"/>
      <c r="E391" s="307"/>
      <c r="F391" s="306"/>
      <c r="G391" s="306"/>
      <c r="H391" s="306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05"/>
      <c r="B392" s="306"/>
      <c r="C392" s="306"/>
      <c r="D392" s="306"/>
      <c r="E392" s="307"/>
      <c r="F392" s="306"/>
      <c r="G392" s="306"/>
      <c r="H392" s="306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05"/>
      <c r="B393" s="306"/>
      <c r="C393" s="306"/>
      <c r="D393" s="306"/>
      <c r="E393" s="307"/>
      <c r="F393" s="306"/>
      <c r="G393" s="306"/>
      <c r="H393" s="306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05"/>
      <c r="B394" s="306"/>
      <c r="C394" s="306"/>
      <c r="D394" s="306"/>
      <c r="E394" s="307"/>
      <c r="F394" s="306"/>
      <c r="G394" s="306"/>
      <c r="H394" s="306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05"/>
      <c r="B395" s="306"/>
      <c r="C395" s="306"/>
      <c r="D395" s="306"/>
      <c r="E395" s="307"/>
      <c r="F395" s="306"/>
      <c r="G395" s="306"/>
      <c r="H395" s="306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05"/>
      <c r="B396" s="306"/>
      <c r="C396" s="306"/>
      <c r="D396" s="306"/>
      <c r="E396" s="307"/>
      <c r="F396" s="306"/>
      <c r="G396" s="306"/>
      <c r="H396" s="306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05"/>
      <c r="B397" s="306"/>
      <c r="C397" s="306"/>
      <c r="D397" s="306"/>
      <c r="E397" s="307"/>
      <c r="F397" s="306"/>
      <c r="G397" s="306"/>
      <c r="H397" s="306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05"/>
      <c r="B398" s="306"/>
      <c r="C398" s="306"/>
      <c r="D398" s="306"/>
      <c r="E398" s="307"/>
      <c r="F398" s="306"/>
      <c r="G398" s="306"/>
      <c r="H398" s="306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05"/>
      <c r="B399" s="306"/>
      <c r="C399" s="306"/>
      <c r="D399" s="306"/>
      <c r="E399" s="307"/>
      <c r="F399" s="306"/>
      <c r="G399" s="306"/>
      <c r="H399" s="306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05"/>
      <c r="B400" s="306"/>
      <c r="C400" s="306"/>
      <c r="D400" s="306"/>
      <c r="E400" s="307"/>
      <c r="F400" s="306"/>
      <c r="G400" s="306"/>
      <c r="H400" s="306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05"/>
      <c r="B401" s="306"/>
      <c r="C401" s="306"/>
      <c r="D401" s="306"/>
      <c r="E401" s="307"/>
      <c r="F401" s="306"/>
      <c r="G401" s="306"/>
      <c r="H401" s="306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05"/>
      <c r="B402" s="306"/>
      <c r="C402" s="306"/>
      <c r="D402" s="306"/>
      <c r="E402" s="307"/>
      <c r="F402" s="306"/>
      <c r="G402" s="306"/>
      <c r="H402" s="306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05"/>
      <c r="B403" s="306"/>
      <c r="C403" s="306"/>
      <c r="D403" s="306"/>
      <c r="E403" s="307"/>
      <c r="F403" s="306"/>
      <c r="G403" s="306"/>
      <c r="H403" s="306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05"/>
      <c r="B404" s="306"/>
      <c r="C404" s="306"/>
      <c r="D404" s="306"/>
      <c r="E404" s="307"/>
      <c r="F404" s="306"/>
      <c r="G404" s="306"/>
      <c r="H404" s="306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05"/>
      <c r="B405" s="306"/>
      <c r="C405" s="306"/>
      <c r="D405" s="306"/>
      <c r="E405" s="307"/>
      <c r="F405" s="306"/>
      <c r="G405" s="306"/>
      <c r="H405" s="306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05"/>
      <c r="B406" s="306"/>
      <c r="C406" s="306"/>
      <c r="D406" s="306"/>
      <c r="E406" s="307"/>
      <c r="F406" s="306"/>
      <c r="G406" s="306"/>
      <c r="H406" s="306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05"/>
      <c r="B407" s="306"/>
      <c r="C407" s="306"/>
      <c r="D407" s="306"/>
      <c r="E407" s="307"/>
      <c r="F407" s="306"/>
      <c r="G407" s="306"/>
      <c r="H407" s="306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05"/>
      <c r="B408" s="306"/>
      <c r="C408" s="306"/>
      <c r="D408" s="306"/>
      <c r="E408" s="307"/>
      <c r="F408" s="306"/>
      <c r="G408" s="306"/>
      <c r="H408" s="306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05"/>
      <c r="B409" s="306"/>
      <c r="C409" s="306"/>
      <c r="D409" s="306"/>
      <c r="E409" s="307"/>
      <c r="F409" s="306"/>
      <c r="G409" s="306"/>
      <c r="H409" s="306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05"/>
      <c r="B410" s="306"/>
      <c r="C410" s="306"/>
      <c r="D410" s="306"/>
      <c r="E410" s="307"/>
      <c r="F410" s="306"/>
      <c r="G410" s="306"/>
      <c r="H410" s="306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05"/>
      <c r="B411" s="306"/>
      <c r="C411" s="306"/>
      <c r="D411" s="306"/>
      <c r="E411" s="307"/>
      <c r="F411" s="306"/>
      <c r="G411" s="306"/>
      <c r="H411" s="306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05"/>
      <c r="B412" s="306"/>
      <c r="C412" s="306"/>
      <c r="D412" s="306"/>
      <c r="E412" s="307"/>
      <c r="F412" s="306"/>
      <c r="G412" s="306"/>
      <c r="H412" s="306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05"/>
      <c r="B413" s="306"/>
      <c r="C413" s="306"/>
      <c r="D413" s="306"/>
      <c r="E413" s="307"/>
      <c r="F413" s="306"/>
      <c r="G413" s="306"/>
      <c r="H413" s="306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05"/>
      <c r="B414" s="306"/>
      <c r="C414" s="306"/>
      <c r="D414" s="306"/>
      <c r="E414" s="307"/>
      <c r="F414" s="306"/>
      <c r="G414" s="306"/>
      <c r="H414" s="306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05"/>
      <c r="B415" s="306"/>
      <c r="C415" s="306"/>
      <c r="D415" s="306"/>
      <c r="E415" s="307"/>
      <c r="F415" s="306"/>
      <c r="G415" s="306"/>
      <c r="H415" s="306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05"/>
      <c r="B416" s="306"/>
      <c r="C416" s="306"/>
      <c r="D416" s="306"/>
      <c r="E416" s="307"/>
      <c r="F416" s="306"/>
      <c r="G416" s="306"/>
      <c r="H416" s="306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05"/>
      <c r="B417" s="306"/>
      <c r="C417" s="306"/>
      <c r="D417" s="306"/>
      <c r="E417" s="307"/>
      <c r="F417" s="306"/>
      <c r="G417" s="306"/>
      <c r="H417" s="306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05"/>
      <c r="B418" s="306"/>
      <c r="C418" s="306"/>
      <c r="D418" s="306"/>
      <c r="E418" s="307"/>
      <c r="F418" s="306"/>
      <c r="G418" s="306"/>
      <c r="H418" s="306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05"/>
      <c r="B419" s="306"/>
      <c r="C419" s="306"/>
      <c r="D419" s="306"/>
      <c r="E419" s="307"/>
      <c r="F419" s="306"/>
      <c r="G419" s="306"/>
      <c r="H419" s="306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05"/>
      <c r="B420" s="306"/>
      <c r="C420" s="306"/>
      <c r="D420" s="306"/>
      <c r="E420" s="307"/>
      <c r="F420" s="306"/>
      <c r="G420" s="306"/>
      <c r="H420" s="306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05"/>
      <c r="B421" s="306"/>
      <c r="C421" s="306"/>
      <c r="D421" s="306"/>
      <c r="E421" s="307"/>
      <c r="F421" s="306"/>
      <c r="G421" s="306"/>
      <c r="H421" s="306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05"/>
      <c r="B422" s="306"/>
      <c r="C422" s="306"/>
      <c r="D422" s="306"/>
      <c r="E422" s="307"/>
      <c r="F422" s="306"/>
      <c r="G422" s="306"/>
      <c r="H422" s="306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05"/>
      <c r="B423" s="306"/>
      <c r="C423" s="306"/>
      <c r="D423" s="306"/>
      <c r="E423" s="307"/>
      <c r="F423" s="306"/>
      <c r="G423" s="306"/>
      <c r="H423" s="306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05"/>
      <c r="B424" s="306"/>
      <c r="C424" s="306"/>
      <c r="D424" s="306"/>
      <c r="E424" s="307"/>
      <c r="F424" s="306"/>
      <c r="G424" s="306"/>
      <c r="H424" s="306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05"/>
      <c r="B425" s="306"/>
      <c r="C425" s="306"/>
      <c r="D425" s="306"/>
      <c r="E425" s="307"/>
      <c r="F425" s="306"/>
      <c r="G425" s="306"/>
      <c r="H425" s="306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05"/>
      <c r="B426" s="306"/>
      <c r="C426" s="306"/>
      <c r="D426" s="306"/>
      <c r="E426" s="307"/>
      <c r="F426" s="306"/>
      <c r="G426" s="306"/>
      <c r="H426" s="306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05"/>
      <c r="B427" s="306"/>
      <c r="C427" s="306"/>
      <c r="D427" s="306"/>
      <c r="E427" s="307"/>
      <c r="F427" s="306"/>
      <c r="G427" s="306"/>
      <c r="H427" s="306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05"/>
      <c r="B428" s="306"/>
      <c r="C428" s="306"/>
      <c r="D428" s="306"/>
      <c r="E428" s="307"/>
      <c r="F428" s="306"/>
      <c r="G428" s="306"/>
      <c r="H428" s="306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05"/>
      <c r="B429" s="306"/>
      <c r="C429" s="306"/>
      <c r="D429" s="306"/>
      <c r="E429" s="307"/>
      <c r="F429" s="306"/>
      <c r="G429" s="306"/>
      <c r="H429" s="306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05"/>
      <c r="B430" s="306"/>
      <c r="C430" s="306"/>
      <c r="D430" s="306"/>
      <c r="E430" s="307"/>
      <c r="F430" s="306"/>
      <c r="G430" s="306"/>
      <c r="H430" s="306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05"/>
      <c r="B431" s="306"/>
      <c r="C431" s="306"/>
      <c r="D431" s="306"/>
      <c r="E431" s="307"/>
      <c r="F431" s="306"/>
      <c r="G431" s="306"/>
      <c r="H431" s="306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05"/>
      <c r="B432" s="306"/>
      <c r="C432" s="306"/>
      <c r="D432" s="306"/>
      <c r="E432" s="307"/>
      <c r="F432" s="306"/>
      <c r="G432" s="306"/>
      <c r="H432" s="306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05"/>
      <c r="B433" s="306"/>
      <c r="C433" s="306"/>
      <c r="D433" s="306"/>
      <c r="E433" s="307"/>
      <c r="F433" s="306"/>
      <c r="G433" s="306"/>
      <c r="H433" s="306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05"/>
      <c r="B434" s="306"/>
      <c r="C434" s="306"/>
      <c r="D434" s="306"/>
      <c r="E434" s="307"/>
      <c r="F434" s="306"/>
      <c r="G434" s="306"/>
      <c r="H434" s="306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05"/>
      <c r="B435" s="306"/>
      <c r="C435" s="306"/>
      <c r="D435" s="306"/>
      <c r="E435" s="307"/>
      <c r="F435" s="306"/>
      <c r="G435" s="306"/>
      <c r="H435" s="306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05"/>
      <c r="B436" s="306"/>
      <c r="C436" s="306"/>
      <c r="D436" s="306"/>
      <c r="E436" s="307"/>
      <c r="F436" s="306"/>
      <c r="G436" s="306"/>
      <c r="H436" s="306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05"/>
      <c r="B437" s="306"/>
      <c r="C437" s="306"/>
      <c r="D437" s="306"/>
      <c r="E437" s="307"/>
      <c r="F437" s="306"/>
      <c r="G437" s="306"/>
      <c r="H437" s="306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05"/>
      <c r="B438" s="306"/>
      <c r="C438" s="306"/>
      <c r="D438" s="306"/>
      <c r="E438" s="307"/>
      <c r="F438" s="306"/>
      <c r="G438" s="306"/>
      <c r="H438" s="306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05"/>
      <c r="B439" s="306"/>
      <c r="C439" s="306"/>
      <c r="D439" s="306"/>
      <c r="E439" s="307"/>
      <c r="F439" s="306"/>
      <c r="G439" s="306"/>
      <c r="H439" s="306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05"/>
      <c r="B440" s="306"/>
      <c r="C440" s="306"/>
      <c r="D440" s="306"/>
      <c r="E440" s="307"/>
      <c r="F440" s="306"/>
      <c r="G440" s="306"/>
      <c r="H440" s="306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05"/>
      <c r="B441" s="306"/>
      <c r="C441" s="306"/>
      <c r="D441" s="306"/>
      <c r="E441" s="307"/>
      <c r="F441" s="306"/>
      <c r="G441" s="306"/>
      <c r="H441" s="306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05"/>
      <c r="B442" s="306"/>
      <c r="C442" s="306"/>
      <c r="D442" s="306"/>
      <c r="E442" s="307"/>
      <c r="F442" s="306"/>
      <c r="G442" s="306"/>
      <c r="H442" s="306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05"/>
      <c r="B443" s="306"/>
      <c r="C443" s="306"/>
      <c r="D443" s="306"/>
      <c r="E443" s="307"/>
      <c r="F443" s="306"/>
      <c r="G443" s="306"/>
      <c r="H443" s="306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05"/>
      <c r="B444" s="306"/>
      <c r="C444" s="306"/>
      <c r="D444" s="306"/>
      <c r="E444" s="307"/>
      <c r="F444" s="306"/>
      <c r="G444" s="306"/>
      <c r="H444" s="306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05"/>
      <c r="B445" s="306"/>
      <c r="C445" s="306"/>
      <c r="D445" s="306"/>
      <c r="E445" s="307"/>
      <c r="F445" s="306"/>
      <c r="G445" s="306"/>
      <c r="H445" s="306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05"/>
      <c r="B446" s="306"/>
      <c r="C446" s="306"/>
      <c r="D446" s="306"/>
      <c r="E446" s="307"/>
      <c r="F446" s="306"/>
      <c r="G446" s="306"/>
      <c r="H446" s="306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05"/>
      <c r="B447" s="306"/>
      <c r="C447" s="306"/>
      <c r="D447" s="306"/>
      <c r="E447" s="307"/>
      <c r="F447" s="306"/>
      <c r="G447" s="306"/>
      <c r="H447" s="306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05"/>
      <c r="B448" s="306"/>
      <c r="C448" s="306"/>
      <c r="D448" s="306"/>
      <c r="E448" s="307"/>
      <c r="F448" s="306"/>
      <c r="G448" s="306"/>
      <c r="H448" s="306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05"/>
      <c r="B449" s="306"/>
      <c r="C449" s="306"/>
      <c r="D449" s="306"/>
      <c r="E449" s="307"/>
      <c r="F449" s="306"/>
      <c r="G449" s="306"/>
      <c r="H449" s="306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05"/>
      <c r="B450" s="306"/>
      <c r="C450" s="306"/>
      <c r="D450" s="306"/>
      <c r="E450" s="307"/>
      <c r="F450" s="306"/>
      <c r="G450" s="306"/>
      <c r="H450" s="306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05"/>
      <c r="B451" s="306"/>
      <c r="C451" s="306"/>
      <c r="D451" s="306"/>
      <c r="E451" s="307"/>
      <c r="F451" s="306"/>
      <c r="G451" s="306"/>
      <c r="H451" s="306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05"/>
      <c r="B452" s="306"/>
      <c r="C452" s="306"/>
      <c r="D452" s="306"/>
      <c r="E452" s="307"/>
      <c r="F452" s="306"/>
      <c r="G452" s="306"/>
      <c r="H452" s="306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05"/>
      <c r="B453" s="306"/>
      <c r="C453" s="306"/>
      <c r="D453" s="306"/>
      <c r="E453" s="307"/>
      <c r="F453" s="306"/>
      <c r="G453" s="306"/>
      <c r="H453" s="306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05"/>
      <c r="B454" s="306"/>
      <c r="C454" s="306"/>
      <c r="D454" s="306"/>
      <c r="E454" s="307"/>
      <c r="F454" s="306"/>
      <c r="G454" s="306"/>
      <c r="H454" s="306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05"/>
      <c r="B455" s="306"/>
      <c r="C455" s="306"/>
      <c r="D455" s="306"/>
      <c r="E455" s="307"/>
      <c r="F455" s="306"/>
      <c r="G455" s="306"/>
      <c r="H455" s="306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05"/>
      <c r="B456" s="306"/>
      <c r="C456" s="306"/>
      <c r="D456" s="306"/>
      <c r="E456" s="307"/>
      <c r="F456" s="306"/>
      <c r="G456" s="306"/>
      <c r="H456" s="306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05"/>
      <c r="B457" s="306"/>
      <c r="C457" s="306"/>
      <c r="D457" s="306"/>
      <c r="E457" s="307"/>
      <c r="F457" s="306"/>
      <c r="G457" s="306"/>
      <c r="H457" s="306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05"/>
      <c r="B458" s="306"/>
      <c r="C458" s="306"/>
      <c r="D458" s="306"/>
      <c r="E458" s="307"/>
      <c r="F458" s="306"/>
      <c r="G458" s="306"/>
      <c r="H458" s="306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05"/>
      <c r="B459" s="306"/>
      <c r="C459" s="306"/>
      <c r="D459" s="306"/>
      <c r="E459" s="307"/>
      <c r="F459" s="306"/>
      <c r="G459" s="306"/>
      <c r="H459" s="306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05"/>
      <c r="B460" s="306"/>
      <c r="C460" s="306"/>
      <c r="D460" s="306"/>
      <c r="E460" s="307"/>
      <c r="F460" s="306"/>
      <c r="G460" s="306"/>
      <c r="H460" s="306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05"/>
      <c r="B461" s="306"/>
      <c r="C461" s="306"/>
      <c r="D461" s="306"/>
      <c r="E461" s="307"/>
      <c r="F461" s="306"/>
      <c r="G461" s="306"/>
      <c r="H461" s="306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05"/>
      <c r="B462" s="306"/>
      <c r="C462" s="306"/>
      <c r="D462" s="306"/>
      <c r="E462" s="307"/>
      <c r="F462" s="306"/>
      <c r="G462" s="306"/>
      <c r="H462" s="306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05"/>
      <c r="B463" s="306"/>
      <c r="C463" s="306"/>
      <c r="D463" s="306"/>
      <c r="E463" s="307"/>
      <c r="F463" s="306"/>
      <c r="G463" s="306"/>
      <c r="H463" s="306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05"/>
      <c r="B464" s="306"/>
      <c r="C464" s="306"/>
      <c r="D464" s="306"/>
      <c r="E464" s="307"/>
      <c r="F464" s="306"/>
      <c r="G464" s="306"/>
      <c r="H464" s="306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05"/>
      <c r="B465" s="306"/>
      <c r="C465" s="306"/>
      <c r="D465" s="306"/>
      <c r="E465" s="307"/>
      <c r="F465" s="306"/>
      <c r="G465" s="306"/>
      <c r="H465" s="306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05"/>
      <c r="B466" s="306"/>
      <c r="C466" s="306"/>
      <c r="D466" s="306"/>
      <c r="E466" s="307"/>
      <c r="F466" s="306"/>
      <c r="G466" s="306"/>
      <c r="H466" s="306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05"/>
      <c r="B467" s="306"/>
      <c r="C467" s="306"/>
      <c r="D467" s="306"/>
      <c r="E467" s="307"/>
      <c r="F467" s="306"/>
      <c r="G467" s="306"/>
      <c r="H467" s="306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05"/>
      <c r="B468" s="306"/>
      <c r="C468" s="306"/>
      <c r="D468" s="306"/>
      <c r="E468" s="307"/>
      <c r="F468" s="306"/>
      <c r="G468" s="306"/>
      <c r="H468" s="306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05"/>
      <c r="B469" s="306"/>
      <c r="C469" s="306"/>
      <c r="D469" s="306"/>
      <c r="E469" s="307"/>
      <c r="F469" s="306"/>
      <c r="G469" s="306"/>
      <c r="H469" s="306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05"/>
      <c r="B470" s="306"/>
      <c r="C470" s="306"/>
      <c r="D470" s="306"/>
      <c r="E470" s="307"/>
      <c r="F470" s="306"/>
      <c r="G470" s="306"/>
      <c r="H470" s="306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05"/>
      <c r="B471" s="306"/>
      <c r="C471" s="306"/>
      <c r="D471" s="306"/>
      <c r="E471" s="307"/>
      <c r="F471" s="306"/>
      <c r="G471" s="306"/>
      <c r="H471" s="306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05"/>
      <c r="B472" s="306"/>
      <c r="C472" s="306"/>
      <c r="D472" s="306"/>
      <c r="E472" s="307"/>
      <c r="F472" s="306"/>
      <c r="G472" s="306"/>
      <c r="H472" s="306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05"/>
      <c r="B473" s="306"/>
      <c r="C473" s="306"/>
      <c r="D473" s="306"/>
      <c r="E473" s="307"/>
      <c r="F473" s="306"/>
      <c r="G473" s="306"/>
      <c r="H473" s="306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05"/>
      <c r="B474" s="306"/>
      <c r="C474" s="306"/>
      <c r="D474" s="306"/>
      <c r="E474" s="307"/>
      <c r="F474" s="306"/>
      <c r="G474" s="306"/>
      <c r="H474" s="306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05"/>
      <c r="B475" s="306"/>
      <c r="C475" s="306"/>
      <c r="D475" s="306"/>
      <c r="E475" s="307"/>
      <c r="F475" s="306"/>
      <c r="G475" s="306"/>
      <c r="H475" s="306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05"/>
      <c r="B476" s="306"/>
      <c r="C476" s="306"/>
      <c r="D476" s="306"/>
      <c r="E476" s="307"/>
      <c r="F476" s="306"/>
      <c r="G476" s="306"/>
      <c r="H476" s="306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05"/>
      <c r="B477" s="306"/>
      <c r="C477" s="306"/>
      <c r="D477" s="306"/>
      <c r="E477" s="307"/>
      <c r="F477" s="306"/>
      <c r="G477" s="306"/>
      <c r="H477" s="306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05"/>
      <c r="B478" s="306"/>
      <c r="C478" s="306"/>
      <c r="D478" s="306"/>
      <c r="E478" s="307"/>
      <c r="F478" s="306"/>
      <c r="G478" s="306"/>
      <c r="H478" s="306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05"/>
      <c r="B479" s="306"/>
      <c r="C479" s="306"/>
      <c r="D479" s="306"/>
      <c r="E479" s="307"/>
      <c r="F479" s="306"/>
      <c r="G479" s="306"/>
      <c r="H479" s="306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05"/>
      <c r="B480" s="306"/>
      <c r="C480" s="306"/>
      <c r="D480" s="306"/>
      <c r="E480" s="307"/>
      <c r="F480" s="306"/>
      <c r="G480" s="306"/>
      <c r="H480" s="306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05"/>
      <c r="B481" s="306"/>
      <c r="C481" s="306"/>
      <c r="D481" s="306"/>
      <c r="E481" s="307"/>
      <c r="F481" s="306"/>
      <c r="G481" s="306"/>
      <c r="H481" s="306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05"/>
      <c r="B482" s="306"/>
      <c r="C482" s="306"/>
      <c r="D482" s="306"/>
      <c r="E482" s="307"/>
      <c r="F482" s="306"/>
      <c r="G482" s="306"/>
      <c r="H482" s="306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05"/>
      <c r="B483" s="306"/>
      <c r="C483" s="306"/>
      <c r="D483" s="306"/>
      <c r="E483" s="307"/>
      <c r="F483" s="306"/>
      <c r="G483" s="306"/>
      <c r="H483" s="306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05"/>
      <c r="B484" s="306"/>
      <c r="C484" s="306"/>
      <c r="D484" s="306"/>
      <c r="E484" s="307"/>
      <c r="F484" s="306"/>
      <c r="G484" s="306"/>
      <c r="H484" s="306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05"/>
      <c r="B485" s="306"/>
      <c r="C485" s="306"/>
      <c r="D485" s="306"/>
      <c r="E485" s="307"/>
      <c r="F485" s="306"/>
      <c r="G485" s="306"/>
      <c r="H485" s="306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05"/>
      <c r="B486" s="306"/>
      <c r="C486" s="306"/>
      <c r="D486" s="306"/>
      <c r="E486" s="307"/>
      <c r="F486" s="306"/>
      <c r="G486" s="306"/>
      <c r="H486" s="306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05"/>
      <c r="B487" s="306"/>
      <c r="C487" s="306"/>
      <c r="D487" s="306"/>
      <c r="E487" s="307"/>
      <c r="F487" s="306"/>
      <c r="G487" s="306"/>
      <c r="H487" s="306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05"/>
      <c r="B488" s="306"/>
      <c r="C488" s="306"/>
      <c r="D488" s="306"/>
      <c r="E488" s="307"/>
      <c r="F488" s="306"/>
      <c r="G488" s="306"/>
      <c r="H488" s="306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05"/>
      <c r="B489" s="306"/>
      <c r="C489" s="306"/>
      <c r="D489" s="306"/>
      <c r="E489" s="307"/>
      <c r="F489" s="306"/>
      <c r="G489" s="306"/>
      <c r="H489" s="306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05"/>
      <c r="B490" s="306"/>
      <c r="C490" s="306"/>
      <c r="D490" s="306"/>
      <c r="E490" s="307"/>
      <c r="F490" s="306"/>
      <c r="G490" s="306"/>
      <c r="H490" s="306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05"/>
      <c r="B491" s="306"/>
      <c r="C491" s="306"/>
      <c r="D491" s="306"/>
      <c r="E491" s="307"/>
      <c r="F491" s="306"/>
      <c r="G491" s="306"/>
      <c r="H491" s="306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05"/>
      <c r="B492" s="306"/>
      <c r="C492" s="306"/>
      <c r="D492" s="306"/>
      <c r="E492" s="307"/>
      <c r="F492" s="306"/>
      <c r="G492" s="306"/>
      <c r="H492" s="306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05"/>
      <c r="B493" s="306"/>
      <c r="C493" s="306"/>
      <c r="D493" s="306"/>
      <c r="E493" s="307"/>
      <c r="F493" s="306"/>
      <c r="G493" s="306"/>
      <c r="H493" s="306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05"/>
      <c r="B494" s="306"/>
      <c r="C494" s="306"/>
      <c r="D494" s="306"/>
      <c r="E494" s="307"/>
      <c r="F494" s="306"/>
      <c r="G494" s="306"/>
      <c r="H494" s="306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05"/>
      <c r="B495" s="306"/>
      <c r="C495" s="306"/>
      <c r="D495" s="306"/>
      <c r="E495" s="307"/>
      <c r="F495" s="306"/>
      <c r="G495" s="306"/>
      <c r="H495" s="306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05"/>
      <c r="B496" s="306"/>
      <c r="C496" s="306"/>
      <c r="D496" s="306"/>
      <c r="E496" s="307"/>
      <c r="F496" s="306"/>
      <c r="G496" s="306"/>
      <c r="H496" s="306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05"/>
      <c r="B497" s="306"/>
      <c r="C497" s="306"/>
      <c r="D497" s="306"/>
      <c r="E497" s="307"/>
      <c r="F497" s="306"/>
      <c r="G497" s="306"/>
      <c r="H497" s="306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05"/>
      <c r="B498" s="306"/>
      <c r="C498" s="306"/>
      <c r="D498" s="306"/>
      <c r="E498" s="307"/>
      <c r="F498" s="306"/>
      <c r="G498" s="306"/>
      <c r="H498" s="306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05"/>
      <c r="B499" s="306"/>
      <c r="C499" s="306"/>
      <c r="D499" s="306"/>
      <c r="E499" s="307"/>
      <c r="F499" s="306"/>
      <c r="G499" s="306"/>
      <c r="H499" s="306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05"/>
      <c r="B500" s="306"/>
      <c r="C500" s="306"/>
      <c r="D500" s="306"/>
      <c r="E500" s="307"/>
      <c r="F500" s="306"/>
      <c r="G500" s="306"/>
      <c r="H500" s="306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05"/>
      <c r="B501" s="306"/>
      <c r="C501" s="306"/>
      <c r="D501" s="306"/>
      <c r="E501" s="307"/>
      <c r="F501" s="306"/>
      <c r="G501" s="306"/>
      <c r="H501" s="306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05"/>
      <c r="B502" s="306"/>
      <c r="C502" s="306"/>
      <c r="D502" s="306"/>
      <c r="E502" s="307"/>
      <c r="F502" s="306"/>
      <c r="G502" s="306"/>
      <c r="H502" s="306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05"/>
      <c r="B503" s="306"/>
      <c r="C503" s="306"/>
      <c r="D503" s="306"/>
      <c r="E503" s="307"/>
      <c r="F503" s="306"/>
      <c r="G503" s="306"/>
      <c r="H503" s="306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05"/>
      <c r="B504" s="306"/>
      <c r="C504" s="306"/>
      <c r="D504" s="306"/>
      <c r="E504" s="307"/>
      <c r="F504" s="306"/>
      <c r="G504" s="306"/>
      <c r="H504" s="306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05"/>
      <c r="B505" s="306"/>
      <c r="C505" s="306"/>
      <c r="D505" s="306"/>
      <c r="E505" s="307"/>
      <c r="F505" s="306"/>
      <c r="G505" s="306"/>
      <c r="H505" s="306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05"/>
      <c r="B506" s="306"/>
      <c r="C506" s="306"/>
      <c r="D506" s="306"/>
      <c r="E506" s="307"/>
      <c r="F506" s="306"/>
      <c r="G506" s="306"/>
      <c r="H506" s="306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05"/>
      <c r="B507" s="306"/>
      <c r="C507" s="306"/>
      <c r="D507" s="306"/>
      <c r="E507" s="307"/>
      <c r="F507" s="306"/>
      <c r="G507" s="306"/>
      <c r="H507" s="306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05"/>
      <c r="B508" s="306"/>
      <c r="C508" s="306"/>
      <c r="D508" s="306"/>
      <c r="E508" s="307"/>
      <c r="F508" s="306"/>
      <c r="G508" s="306"/>
      <c r="H508" s="306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05"/>
      <c r="B509" s="306"/>
      <c r="C509" s="306"/>
      <c r="D509" s="306"/>
      <c r="E509" s="307"/>
      <c r="F509" s="306"/>
      <c r="G509" s="306"/>
      <c r="H509" s="306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05"/>
      <c r="B510" s="306"/>
      <c r="C510" s="306"/>
      <c r="D510" s="306"/>
      <c r="E510" s="307"/>
      <c r="F510" s="306"/>
      <c r="G510" s="306"/>
      <c r="H510" s="306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05"/>
      <c r="B511" s="306"/>
      <c r="C511" s="306"/>
      <c r="D511" s="306"/>
      <c r="E511" s="307"/>
      <c r="F511" s="306"/>
      <c r="G511" s="306"/>
      <c r="H511" s="306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05"/>
      <c r="B512" s="306"/>
      <c r="C512" s="306"/>
      <c r="D512" s="306"/>
      <c r="E512" s="307"/>
      <c r="F512" s="306"/>
      <c r="G512" s="306"/>
      <c r="H512" s="306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05"/>
      <c r="B513" s="306"/>
      <c r="C513" s="306"/>
      <c r="D513" s="306"/>
      <c r="E513" s="307"/>
      <c r="F513" s="306"/>
      <c r="G513" s="306"/>
      <c r="H513" s="306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05"/>
      <c r="B514" s="306"/>
      <c r="C514" s="306"/>
      <c r="D514" s="306"/>
      <c r="E514" s="307"/>
      <c r="F514" s="306"/>
      <c r="G514" s="306"/>
      <c r="H514" s="306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05"/>
      <c r="B515" s="306"/>
      <c r="C515" s="306"/>
      <c r="D515" s="306"/>
      <c r="E515" s="307"/>
      <c r="F515" s="306"/>
      <c r="G515" s="306"/>
      <c r="H515" s="306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05"/>
      <c r="B516" s="306"/>
      <c r="C516" s="306"/>
      <c r="D516" s="306"/>
      <c r="E516" s="307"/>
      <c r="F516" s="306"/>
      <c r="G516" s="306"/>
      <c r="H516" s="306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05"/>
      <c r="B517" s="306"/>
      <c r="C517" s="306"/>
      <c r="D517" s="306"/>
      <c r="E517" s="307"/>
      <c r="F517" s="306"/>
      <c r="G517" s="306"/>
      <c r="H517" s="306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05"/>
      <c r="B518" s="306"/>
      <c r="C518" s="306"/>
      <c r="D518" s="306"/>
      <c r="E518" s="307"/>
      <c r="F518" s="306"/>
      <c r="G518" s="306"/>
      <c r="H518" s="306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05"/>
      <c r="B519" s="306"/>
      <c r="C519" s="306"/>
      <c r="D519" s="306"/>
      <c r="E519" s="307"/>
      <c r="F519" s="306"/>
      <c r="G519" s="306"/>
      <c r="H519" s="306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05"/>
      <c r="B520" s="306"/>
      <c r="C520" s="306"/>
      <c r="D520" s="306"/>
      <c r="E520" s="307"/>
      <c r="F520" s="306"/>
      <c r="G520" s="306"/>
      <c r="H520" s="306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05"/>
      <c r="B521" s="306"/>
      <c r="C521" s="306"/>
      <c r="D521" s="306"/>
      <c r="E521" s="307"/>
      <c r="F521" s="306"/>
      <c r="G521" s="306"/>
      <c r="H521" s="306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05"/>
      <c r="B522" s="306"/>
      <c r="C522" s="306"/>
      <c r="D522" s="306"/>
      <c r="E522" s="307"/>
      <c r="F522" s="306"/>
      <c r="G522" s="306"/>
      <c r="H522" s="306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05"/>
      <c r="B523" s="306"/>
      <c r="C523" s="306"/>
      <c r="D523" s="306"/>
      <c r="E523" s="307"/>
      <c r="F523" s="306"/>
      <c r="G523" s="306"/>
      <c r="H523" s="306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05"/>
      <c r="B524" s="306"/>
      <c r="C524" s="306"/>
      <c r="D524" s="306"/>
      <c r="E524" s="307"/>
      <c r="F524" s="306"/>
      <c r="G524" s="306"/>
      <c r="H524" s="306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05"/>
      <c r="B525" s="306"/>
      <c r="C525" s="306"/>
      <c r="D525" s="306"/>
      <c r="E525" s="307"/>
      <c r="F525" s="306"/>
      <c r="G525" s="306"/>
      <c r="H525" s="306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05"/>
      <c r="B526" s="306"/>
      <c r="C526" s="306"/>
      <c r="D526" s="306"/>
      <c r="E526" s="307"/>
      <c r="F526" s="306"/>
      <c r="G526" s="306"/>
      <c r="H526" s="306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05"/>
      <c r="B527" s="306"/>
      <c r="C527" s="306"/>
      <c r="D527" s="306"/>
      <c r="E527" s="307"/>
      <c r="F527" s="306"/>
      <c r="G527" s="306"/>
      <c r="H527" s="306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05"/>
      <c r="B528" s="306"/>
      <c r="C528" s="306"/>
      <c r="D528" s="306"/>
      <c r="E528" s="307"/>
      <c r="F528" s="306"/>
      <c r="G528" s="306"/>
      <c r="H528" s="306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05"/>
      <c r="B529" s="306"/>
      <c r="C529" s="306"/>
      <c r="D529" s="306"/>
      <c r="E529" s="307"/>
      <c r="F529" s="306"/>
      <c r="G529" s="306"/>
      <c r="H529" s="306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05"/>
      <c r="B530" s="306"/>
      <c r="C530" s="306"/>
      <c r="D530" s="306"/>
      <c r="E530" s="307"/>
      <c r="F530" s="306"/>
      <c r="G530" s="306"/>
      <c r="H530" s="306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05"/>
      <c r="B531" s="306"/>
      <c r="C531" s="306"/>
      <c r="D531" s="306"/>
      <c r="E531" s="307"/>
      <c r="F531" s="306"/>
      <c r="G531" s="306"/>
      <c r="H531" s="306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05"/>
      <c r="B532" s="306"/>
      <c r="C532" s="306"/>
      <c r="D532" s="306"/>
      <c r="E532" s="307"/>
      <c r="F532" s="306"/>
      <c r="G532" s="306"/>
      <c r="H532" s="306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05"/>
      <c r="B533" s="306"/>
      <c r="C533" s="306"/>
      <c r="D533" s="306"/>
      <c r="E533" s="307"/>
      <c r="F533" s="306"/>
      <c r="G533" s="306"/>
      <c r="H533" s="306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05"/>
      <c r="B534" s="306"/>
      <c r="C534" s="306"/>
      <c r="D534" s="306"/>
      <c r="E534" s="307"/>
      <c r="F534" s="306"/>
      <c r="G534" s="306"/>
      <c r="H534" s="306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05"/>
      <c r="B535" s="306"/>
      <c r="C535" s="306"/>
      <c r="D535" s="306"/>
      <c r="E535" s="307"/>
      <c r="F535" s="306"/>
      <c r="G535" s="306"/>
      <c r="H535" s="306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05"/>
      <c r="B536" s="306"/>
      <c r="C536" s="306"/>
      <c r="D536" s="306"/>
      <c r="E536" s="307"/>
      <c r="F536" s="306"/>
      <c r="G536" s="306"/>
      <c r="H536" s="306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05"/>
      <c r="B537" s="306"/>
      <c r="C537" s="306"/>
      <c r="D537" s="306"/>
      <c r="E537" s="307"/>
      <c r="F537" s="306"/>
      <c r="G537" s="306"/>
      <c r="H537" s="306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05"/>
      <c r="B538" s="306"/>
      <c r="C538" s="306"/>
      <c r="D538" s="306"/>
      <c r="E538" s="307"/>
      <c r="F538" s="306"/>
      <c r="G538" s="306"/>
      <c r="H538" s="306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05"/>
      <c r="B539" s="306"/>
      <c r="C539" s="306"/>
      <c r="D539" s="306"/>
      <c r="E539" s="307"/>
      <c r="F539" s="306"/>
      <c r="G539" s="306"/>
      <c r="H539" s="306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05"/>
      <c r="B540" s="306"/>
      <c r="C540" s="306"/>
      <c r="D540" s="306"/>
      <c r="E540" s="307"/>
      <c r="F540" s="306"/>
      <c r="G540" s="306"/>
      <c r="H540" s="306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05"/>
      <c r="B541" s="306"/>
      <c r="C541" s="306"/>
      <c r="D541" s="306"/>
      <c r="E541" s="307"/>
      <c r="F541" s="306"/>
      <c r="G541" s="306"/>
      <c r="H541" s="306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05"/>
      <c r="B542" s="306"/>
      <c r="C542" s="306"/>
      <c r="D542" s="306"/>
      <c r="E542" s="307"/>
      <c r="F542" s="306"/>
      <c r="G542" s="306"/>
      <c r="H542" s="306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05"/>
      <c r="B543" s="306"/>
      <c r="C543" s="306"/>
      <c r="D543" s="306"/>
      <c r="E543" s="307"/>
      <c r="F543" s="306"/>
      <c r="G543" s="306"/>
      <c r="H543" s="306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05"/>
      <c r="B544" s="306"/>
      <c r="C544" s="306"/>
      <c r="D544" s="306"/>
      <c r="E544" s="307"/>
      <c r="F544" s="306"/>
      <c r="G544" s="306"/>
      <c r="H544" s="306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05"/>
      <c r="B545" s="306"/>
      <c r="C545" s="306"/>
      <c r="D545" s="306"/>
      <c r="E545" s="307"/>
      <c r="F545" s="306"/>
      <c r="G545" s="306"/>
      <c r="H545" s="306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05"/>
      <c r="B546" s="306"/>
      <c r="C546" s="306"/>
      <c r="D546" s="306"/>
      <c r="E546" s="307"/>
      <c r="F546" s="306"/>
      <c r="G546" s="306"/>
      <c r="H546" s="306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05"/>
      <c r="B547" s="306"/>
      <c r="C547" s="306"/>
      <c r="D547" s="306"/>
      <c r="E547" s="307"/>
      <c r="F547" s="306"/>
      <c r="G547" s="306"/>
      <c r="H547" s="306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05"/>
      <c r="B548" s="306"/>
      <c r="C548" s="306"/>
      <c r="D548" s="306"/>
      <c r="E548" s="307"/>
      <c r="F548" s="306"/>
      <c r="G548" s="306"/>
      <c r="H548" s="306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05"/>
      <c r="B549" s="306"/>
      <c r="C549" s="306"/>
      <c r="D549" s="306"/>
      <c r="E549" s="307"/>
      <c r="F549" s="306"/>
      <c r="G549" s="306"/>
      <c r="H549" s="306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05"/>
      <c r="B550" s="306"/>
      <c r="C550" s="306"/>
      <c r="D550" s="306"/>
      <c r="E550" s="307"/>
      <c r="F550" s="306"/>
      <c r="G550" s="306"/>
      <c r="H550" s="306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05"/>
      <c r="B551" s="306"/>
      <c r="C551" s="306"/>
      <c r="D551" s="306"/>
      <c r="E551" s="307"/>
      <c r="F551" s="306"/>
      <c r="G551" s="306"/>
      <c r="H551" s="306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05"/>
      <c r="B552" s="306"/>
      <c r="C552" s="306"/>
      <c r="D552" s="306"/>
      <c r="E552" s="307"/>
      <c r="F552" s="306"/>
      <c r="G552" s="306"/>
      <c r="H552" s="306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05"/>
      <c r="B553" s="306"/>
      <c r="C553" s="306"/>
      <c r="D553" s="306"/>
      <c r="E553" s="307"/>
      <c r="F553" s="306"/>
      <c r="G553" s="306"/>
      <c r="H553" s="306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05"/>
      <c r="B554" s="306"/>
      <c r="C554" s="306"/>
      <c r="D554" s="306"/>
      <c r="E554" s="307"/>
      <c r="F554" s="306"/>
      <c r="G554" s="306"/>
      <c r="H554" s="306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05"/>
      <c r="B555" s="306"/>
      <c r="C555" s="306"/>
      <c r="D555" s="306"/>
      <c r="E555" s="307"/>
      <c r="F555" s="306"/>
      <c r="G555" s="306"/>
      <c r="H555" s="306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05"/>
      <c r="B556" s="306"/>
      <c r="C556" s="306"/>
      <c r="D556" s="306"/>
      <c r="E556" s="307"/>
      <c r="F556" s="306"/>
      <c r="G556" s="306"/>
      <c r="H556" s="306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05"/>
      <c r="B557" s="306"/>
      <c r="C557" s="306"/>
      <c r="D557" s="306"/>
      <c r="E557" s="307"/>
      <c r="F557" s="306"/>
      <c r="G557" s="306"/>
      <c r="H557" s="306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05"/>
      <c r="B558" s="306"/>
      <c r="C558" s="306"/>
      <c r="D558" s="306"/>
      <c r="E558" s="307"/>
      <c r="F558" s="306"/>
      <c r="G558" s="306"/>
      <c r="H558" s="306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05"/>
      <c r="B559" s="306"/>
      <c r="C559" s="306"/>
      <c r="D559" s="306"/>
      <c r="E559" s="307"/>
      <c r="F559" s="306"/>
      <c r="G559" s="306"/>
      <c r="H559" s="306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05"/>
      <c r="B560" s="306"/>
      <c r="C560" s="306"/>
      <c r="D560" s="306"/>
      <c r="E560" s="307"/>
      <c r="F560" s="306"/>
      <c r="G560" s="306"/>
      <c r="H560" s="306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05"/>
      <c r="B561" s="306"/>
      <c r="C561" s="306"/>
      <c r="D561" s="306"/>
      <c r="E561" s="307"/>
      <c r="F561" s="306"/>
      <c r="G561" s="306"/>
      <c r="H561" s="306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05"/>
      <c r="B562" s="306"/>
      <c r="C562" s="306"/>
      <c r="D562" s="306"/>
      <c r="E562" s="307"/>
      <c r="F562" s="306"/>
      <c r="G562" s="306"/>
      <c r="H562" s="306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05"/>
      <c r="B563" s="306"/>
      <c r="C563" s="306"/>
      <c r="D563" s="306"/>
      <c r="E563" s="307"/>
      <c r="F563" s="306"/>
      <c r="G563" s="306"/>
      <c r="H563" s="306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05"/>
      <c r="B564" s="306"/>
      <c r="C564" s="306"/>
      <c r="D564" s="306"/>
      <c r="E564" s="307"/>
      <c r="F564" s="306"/>
      <c r="G564" s="306"/>
      <c r="H564" s="306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05"/>
      <c r="B565" s="306"/>
      <c r="C565" s="306"/>
      <c r="D565" s="306"/>
      <c r="E565" s="307"/>
      <c r="F565" s="306"/>
      <c r="G565" s="306"/>
      <c r="H565" s="306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05"/>
      <c r="B566" s="306"/>
      <c r="C566" s="306"/>
      <c r="D566" s="306"/>
      <c r="E566" s="307"/>
      <c r="F566" s="306"/>
      <c r="G566" s="306"/>
      <c r="H566" s="306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05"/>
      <c r="B567" s="306"/>
      <c r="C567" s="306"/>
      <c r="D567" s="306"/>
      <c r="E567" s="307"/>
      <c r="F567" s="306"/>
      <c r="G567" s="306"/>
      <c r="H567" s="306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05"/>
      <c r="B568" s="306"/>
      <c r="C568" s="306"/>
      <c r="D568" s="306"/>
      <c r="E568" s="307"/>
      <c r="F568" s="306"/>
      <c r="G568" s="306"/>
      <c r="H568" s="306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05"/>
      <c r="B569" s="306"/>
      <c r="C569" s="306"/>
      <c r="D569" s="306"/>
      <c r="E569" s="307"/>
      <c r="F569" s="306"/>
      <c r="G569" s="306"/>
      <c r="H569" s="306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05"/>
      <c r="B570" s="306"/>
      <c r="C570" s="306"/>
      <c r="D570" s="306"/>
      <c r="E570" s="307"/>
      <c r="F570" s="306"/>
      <c r="G570" s="306"/>
      <c r="H570" s="306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05"/>
      <c r="B571" s="306"/>
      <c r="C571" s="306"/>
      <c r="D571" s="306"/>
      <c r="E571" s="307"/>
      <c r="F571" s="306"/>
      <c r="G571" s="306"/>
      <c r="H571" s="306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05"/>
      <c r="B572" s="306"/>
      <c r="C572" s="306"/>
      <c r="D572" s="306"/>
      <c r="E572" s="307"/>
      <c r="F572" s="306"/>
      <c r="G572" s="306"/>
      <c r="H572" s="306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05"/>
      <c r="B573" s="306"/>
      <c r="C573" s="306"/>
      <c r="D573" s="306"/>
      <c r="E573" s="307"/>
      <c r="F573" s="306"/>
      <c r="G573" s="306"/>
      <c r="H573" s="306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05"/>
      <c r="B574" s="306"/>
      <c r="C574" s="306"/>
      <c r="D574" s="306"/>
      <c r="E574" s="307"/>
      <c r="F574" s="306"/>
      <c r="G574" s="306"/>
      <c r="H574" s="306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05"/>
      <c r="B575" s="306"/>
      <c r="C575" s="306"/>
      <c r="D575" s="306"/>
      <c r="E575" s="307"/>
      <c r="F575" s="306"/>
      <c r="G575" s="306"/>
      <c r="H575" s="306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05"/>
      <c r="B576" s="306"/>
      <c r="C576" s="306"/>
      <c r="D576" s="306"/>
      <c r="E576" s="307"/>
      <c r="F576" s="306"/>
      <c r="G576" s="306"/>
      <c r="H576" s="306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05"/>
      <c r="B577" s="306"/>
      <c r="C577" s="306"/>
      <c r="D577" s="306"/>
      <c r="E577" s="307"/>
      <c r="F577" s="306"/>
      <c r="G577" s="306"/>
      <c r="H577" s="306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05"/>
      <c r="B578" s="306"/>
      <c r="C578" s="306"/>
      <c r="D578" s="306"/>
      <c r="E578" s="307"/>
      <c r="F578" s="306"/>
      <c r="G578" s="306"/>
      <c r="H578" s="306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05"/>
      <c r="B579" s="306"/>
      <c r="C579" s="306"/>
      <c r="D579" s="306"/>
      <c r="E579" s="307"/>
      <c r="F579" s="306"/>
      <c r="G579" s="306"/>
      <c r="H579" s="306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05"/>
      <c r="B580" s="306"/>
      <c r="C580" s="306"/>
      <c r="D580" s="306"/>
      <c r="E580" s="307"/>
      <c r="F580" s="306"/>
      <c r="G580" s="306"/>
      <c r="H580" s="306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05"/>
      <c r="B581" s="306"/>
      <c r="C581" s="306"/>
      <c r="D581" s="306"/>
      <c r="E581" s="307"/>
      <c r="F581" s="306"/>
      <c r="G581" s="306"/>
      <c r="H581" s="306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05"/>
      <c r="B582" s="306"/>
      <c r="C582" s="306"/>
      <c r="D582" s="306"/>
      <c r="E582" s="307"/>
      <c r="F582" s="306"/>
      <c r="G582" s="306"/>
      <c r="H582" s="306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05"/>
      <c r="B583" s="306"/>
      <c r="C583" s="306"/>
      <c r="D583" s="306"/>
      <c r="E583" s="307"/>
      <c r="F583" s="306"/>
      <c r="G583" s="306"/>
      <c r="H583" s="306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05"/>
      <c r="B584" s="306"/>
      <c r="C584" s="306"/>
      <c r="D584" s="306"/>
      <c r="E584" s="307"/>
      <c r="F584" s="306"/>
      <c r="G584" s="306"/>
      <c r="H584" s="306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05"/>
      <c r="B585" s="306"/>
      <c r="C585" s="306"/>
      <c r="D585" s="306"/>
      <c r="E585" s="307"/>
      <c r="F585" s="306"/>
      <c r="G585" s="306"/>
      <c r="H585" s="306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05"/>
      <c r="B586" s="306"/>
      <c r="C586" s="306"/>
      <c r="D586" s="306"/>
      <c r="E586" s="307"/>
      <c r="F586" s="306"/>
      <c r="G586" s="306"/>
      <c r="H586" s="306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05"/>
      <c r="B587" s="306"/>
      <c r="C587" s="306"/>
      <c r="D587" s="306"/>
      <c r="E587" s="307"/>
      <c r="F587" s="306"/>
      <c r="G587" s="306"/>
      <c r="H587" s="306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05"/>
      <c r="B588" s="306"/>
      <c r="C588" s="306"/>
      <c r="D588" s="306"/>
      <c r="E588" s="307"/>
      <c r="F588" s="306"/>
      <c r="G588" s="306"/>
      <c r="H588" s="306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05"/>
      <c r="B589" s="306"/>
      <c r="C589" s="306"/>
      <c r="D589" s="306"/>
      <c r="E589" s="307"/>
      <c r="F589" s="306"/>
      <c r="G589" s="306"/>
      <c r="H589" s="306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05"/>
      <c r="B590" s="306"/>
      <c r="C590" s="306"/>
      <c r="D590" s="306"/>
      <c r="E590" s="307"/>
      <c r="F590" s="306"/>
      <c r="G590" s="306"/>
      <c r="H590" s="306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05"/>
      <c r="B591" s="306"/>
      <c r="C591" s="306"/>
      <c r="D591" s="306"/>
      <c r="E591" s="307"/>
      <c r="F591" s="306"/>
      <c r="G591" s="306"/>
      <c r="H591" s="306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05"/>
      <c r="B592" s="306"/>
      <c r="C592" s="306"/>
      <c r="D592" s="306"/>
      <c r="E592" s="307"/>
      <c r="F592" s="306"/>
      <c r="G592" s="306"/>
      <c r="H592" s="306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05"/>
      <c r="B593" s="306"/>
      <c r="C593" s="306"/>
      <c r="D593" s="306"/>
      <c r="E593" s="307"/>
      <c r="F593" s="306"/>
      <c r="G593" s="306"/>
      <c r="H593" s="306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05"/>
      <c r="B594" s="306"/>
      <c r="C594" s="306"/>
      <c r="D594" s="306"/>
      <c r="E594" s="307"/>
      <c r="F594" s="306"/>
      <c r="G594" s="306"/>
      <c r="H594" s="306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05"/>
      <c r="B595" s="306"/>
      <c r="C595" s="306"/>
      <c r="D595" s="306"/>
      <c r="E595" s="307"/>
      <c r="F595" s="306"/>
      <c r="G595" s="306"/>
      <c r="H595" s="306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05"/>
      <c r="B596" s="306"/>
      <c r="C596" s="306"/>
      <c r="D596" s="306"/>
      <c r="E596" s="307"/>
      <c r="F596" s="306"/>
      <c r="G596" s="306"/>
      <c r="H596" s="306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05"/>
      <c r="B597" s="306"/>
      <c r="C597" s="306"/>
      <c r="D597" s="306"/>
      <c r="E597" s="307"/>
      <c r="F597" s="306"/>
      <c r="G597" s="306"/>
      <c r="H597" s="306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05"/>
      <c r="B598" s="306"/>
      <c r="C598" s="306"/>
      <c r="D598" s="306"/>
      <c r="E598" s="307"/>
      <c r="F598" s="306"/>
      <c r="G598" s="306"/>
      <c r="H598" s="306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05"/>
      <c r="B599" s="306"/>
      <c r="C599" s="306"/>
      <c r="D599" s="306"/>
      <c r="E599" s="307"/>
      <c r="F599" s="306"/>
      <c r="G599" s="306"/>
      <c r="H599" s="306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05"/>
      <c r="B600" s="306"/>
      <c r="C600" s="306"/>
      <c r="D600" s="306"/>
      <c r="E600" s="307"/>
      <c r="F600" s="306"/>
      <c r="G600" s="306"/>
      <c r="H600" s="306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05"/>
      <c r="B601" s="306"/>
      <c r="C601" s="306"/>
      <c r="D601" s="306"/>
      <c r="E601" s="307"/>
      <c r="F601" s="306"/>
      <c r="G601" s="306"/>
      <c r="H601" s="306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05"/>
      <c r="B602" s="306"/>
      <c r="C602" s="306"/>
      <c r="D602" s="306"/>
      <c r="E602" s="307"/>
      <c r="F602" s="306"/>
      <c r="G602" s="306"/>
      <c r="H602" s="306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05"/>
      <c r="B603" s="306"/>
      <c r="C603" s="306"/>
      <c r="D603" s="306"/>
      <c r="E603" s="307"/>
      <c r="F603" s="306"/>
      <c r="G603" s="306"/>
      <c r="H603" s="306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05"/>
      <c r="B604" s="306"/>
      <c r="C604" s="306"/>
      <c r="D604" s="306"/>
      <c r="E604" s="307"/>
      <c r="F604" s="306"/>
      <c r="G604" s="306"/>
      <c r="H604" s="306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05"/>
      <c r="B605" s="306"/>
      <c r="C605" s="306"/>
      <c r="D605" s="306"/>
      <c r="E605" s="307"/>
      <c r="F605" s="306"/>
      <c r="G605" s="306"/>
      <c r="H605" s="306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05"/>
      <c r="B606" s="306"/>
      <c r="C606" s="306"/>
      <c r="D606" s="306"/>
      <c r="E606" s="307"/>
      <c r="F606" s="306"/>
      <c r="G606" s="306"/>
      <c r="H606" s="306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05"/>
      <c r="B607" s="306"/>
      <c r="C607" s="306"/>
      <c r="D607" s="306"/>
      <c r="E607" s="307"/>
      <c r="F607" s="306"/>
      <c r="G607" s="306"/>
      <c r="H607" s="306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05"/>
      <c r="B608" s="306"/>
      <c r="C608" s="306"/>
      <c r="D608" s="306"/>
      <c r="E608" s="307"/>
      <c r="F608" s="306"/>
      <c r="G608" s="306"/>
      <c r="H608" s="306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05"/>
      <c r="B609" s="306"/>
      <c r="C609" s="306"/>
      <c r="D609" s="306"/>
      <c r="E609" s="307"/>
      <c r="F609" s="306"/>
      <c r="G609" s="306"/>
      <c r="H609" s="306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05"/>
      <c r="B610" s="306"/>
      <c r="C610" s="306"/>
      <c r="D610" s="306"/>
      <c r="E610" s="307"/>
      <c r="F610" s="306"/>
      <c r="G610" s="306"/>
      <c r="H610" s="306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05"/>
      <c r="B611" s="306"/>
      <c r="C611" s="306"/>
      <c r="D611" s="306"/>
      <c r="E611" s="307"/>
      <c r="F611" s="306"/>
      <c r="G611" s="306"/>
      <c r="H611" s="306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05"/>
      <c r="B612" s="306"/>
      <c r="C612" s="306"/>
      <c r="D612" s="306"/>
      <c r="E612" s="307"/>
      <c r="F612" s="306"/>
      <c r="G612" s="306"/>
      <c r="H612" s="306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05"/>
      <c r="B613" s="306"/>
      <c r="C613" s="306"/>
      <c r="D613" s="306"/>
      <c r="E613" s="307"/>
      <c r="F613" s="306"/>
      <c r="G613" s="306"/>
      <c r="H613" s="306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05"/>
      <c r="B614" s="306"/>
      <c r="C614" s="306"/>
      <c r="D614" s="306"/>
      <c r="E614" s="307"/>
      <c r="F614" s="306"/>
      <c r="G614" s="306"/>
      <c r="H614" s="306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05"/>
      <c r="B615" s="306"/>
      <c r="C615" s="306"/>
      <c r="D615" s="306"/>
      <c r="E615" s="307"/>
      <c r="F615" s="306"/>
      <c r="G615" s="306"/>
      <c r="H615" s="306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05"/>
      <c r="B616" s="306"/>
      <c r="C616" s="306"/>
      <c r="D616" s="306"/>
      <c r="E616" s="307"/>
      <c r="F616" s="306"/>
      <c r="G616" s="306"/>
      <c r="H616" s="306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05"/>
      <c r="B617" s="306"/>
      <c r="C617" s="306"/>
      <c r="D617" s="306"/>
      <c r="E617" s="307"/>
      <c r="F617" s="306"/>
      <c r="G617" s="306"/>
      <c r="H617" s="306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05"/>
      <c r="B618" s="306"/>
      <c r="C618" s="306"/>
      <c r="D618" s="306"/>
      <c r="E618" s="307"/>
      <c r="F618" s="306"/>
      <c r="G618" s="306"/>
      <c r="H618" s="306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05"/>
      <c r="B619" s="306"/>
      <c r="C619" s="306"/>
      <c r="D619" s="306"/>
      <c r="E619" s="307"/>
      <c r="F619" s="306"/>
      <c r="G619" s="306"/>
      <c r="H619" s="306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05"/>
      <c r="B620" s="306"/>
      <c r="C620" s="306"/>
      <c r="D620" s="306"/>
      <c r="E620" s="307"/>
      <c r="F620" s="306"/>
      <c r="G620" s="306"/>
      <c r="H620" s="306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05"/>
      <c r="B621" s="306"/>
      <c r="C621" s="306"/>
      <c r="D621" s="306"/>
      <c r="E621" s="307"/>
      <c r="F621" s="306"/>
      <c r="G621" s="306"/>
      <c r="H621" s="306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05"/>
      <c r="B622" s="306"/>
      <c r="C622" s="306"/>
      <c r="D622" s="306"/>
      <c r="E622" s="307"/>
      <c r="F622" s="306"/>
      <c r="G622" s="306"/>
      <c r="H622" s="306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05"/>
      <c r="B623" s="306"/>
      <c r="C623" s="306"/>
      <c r="D623" s="306"/>
      <c r="E623" s="307"/>
      <c r="F623" s="306"/>
      <c r="G623" s="306"/>
      <c r="H623" s="306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05"/>
      <c r="B624" s="306"/>
      <c r="C624" s="306"/>
      <c r="D624" s="306"/>
      <c r="E624" s="307"/>
      <c r="F624" s="306"/>
      <c r="G624" s="306"/>
      <c r="H624" s="306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05"/>
      <c r="B625" s="306"/>
      <c r="C625" s="306"/>
      <c r="D625" s="306"/>
      <c r="E625" s="307"/>
      <c r="F625" s="306"/>
      <c r="G625" s="306"/>
      <c r="H625" s="306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05"/>
      <c r="B626" s="306"/>
      <c r="C626" s="306"/>
      <c r="D626" s="306"/>
      <c r="E626" s="307"/>
      <c r="F626" s="306"/>
      <c r="G626" s="306"/>
      <c r="H626" s="306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05"/>
      <c r="B627" s="306"/>
      <c r="C627" s="306"/>
      <c r="D627" s="306"/>
      <c r="E627" s="307"/>
      <c r="F627" s="306"/>
      <c r="G627" s="306"/>
      <c r="H627" s="306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05"/>
      <c r="B628" s="306"/>
      <c r="C628" s="306"/>
      <c r="D628" s="306"/>
      <c r="E628" s="307"/>
      <c r="F628" s="306"/>
      <c r="G628" s="306"/>
      <c r="H628" s="306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05"/>
      <c r="B629" s="306"/>
      <c r="C629" s="306"/>
      <c r="D629" s="306"/>
      <c r="E629" s="307"/>
      <c r="F629" s="306"/>
      <c r="G629" s="306"/>
      <c r="H629" s="306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05"/>
      <c r="B630" s="306"/>
      <c r="C630" s="306"/>
      <c r="D630" s="306"/>
      <c r="E630" s="307"/>
      <c r="F630" s="306"/>
      <c r="G630" s="306"/>
      <c r="H630" s="306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05"/>
      <c r="B631" s="306"/>
      <c r="C631" s="306"/>
      <c r="D631" s="306"/>
      <c r="E631" s="307"/>
      <c r="F631" s="306"/>
      <c r="G631" s="306"/>
      <c r="H631" s="306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05"/>
      <c r="B632" s="306"/>
      <c r="C632" s="306"/>
      <c r="D632" s="306"/>
      <c r="E632" s="307"/>
      <c r="F632" s="306"/>
      <c r="G632" s="306"/>
      <c r="H632" s="306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05"/>
      <c r="B633" s="306"/>
      <c r="C633" s="306"/>
      <c r="D633" s="306"/>
      <c r="E633" s="307"/>
      <c r="F633" s="306"/>
      <c r="G633" s="306"/>
      <c r="H633" s="306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05"/>
      <c r="B634" s="306"/>
      <c r="C634" s="306"/>
      <c r="D634" s="306"/>
      <c r="E634" s="307"/>
      <c r="F634" s="306"/>
      <c r="G634" s="306"/>
      <c r="H634" s="306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05"/>
      <c r="B635" s="306"/>
      <c r="C635" s="306"/>
      <c r="D635" s="306"/>
      <c r="E635" s="307"/>
      <c r="F635" s="306"/>
      <c r="G635" s="306"/>
      <c r="H635" s="306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05"/>
      <c r="B636" s="306"/>
      <c r="C636" s="306"/>
      <c r="D636" s="306"/>
      <c r="E636" s="307"/>
      <c r="F636" s="306"/>
      <c r="G636" s="306"/>
      <c r="H636" s="306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05"/>
      <c r="B637" s="306"/>
      <c r="C637" s="306"/>
      <c r="D637" s="306"/>
      <c r="E637" s="307"/>
      <c r="F637" s="306"/>
      <c r="G637" s="306"/>
      <c r="H637" s="306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05"/>
      <c r="B638" s="306"/>
      <c r="C638" s="306"/>
      <c r="D638" s="306"/>
      <c r="E638" s="307"/>
      <c r="F638" s="306"/>
      <c r="G638" s="306"/>
      <c r="H638" s="306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05"/>
      <c r="B639" s="306"/>
      <c r="C639" s="306"/>
      <c r="D639" s="306"/>
      <c r="E639" s="307"/>
      <c r="F639" s="306"/>
      <c r="G639" s="306"/>
      <c r="H639" s="306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05"/>
      <c r="B640" s="306"/>
      <c r="C640" s="306"/>
      <c r="D640" s="306"/>
      <c r="E640" s="307"/>
      <c r="F640" s="306"/>
      <c r="G640" s="306"/>
      <c r="H640" s="306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05"/>
      <c r="B641" s="306"/>
      <c r="C641" s="306"/>
      <c r="D641" s="306"/>
      <c r="E641" s="307"/>
      <c r="F641" s="306"/>
      <c r="G641" s="306"/>
      <c r="H641" s="306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05"/>
      <c r="B642" s="306"/>
      <c r="C642" s="306"/>
      <c r="D642" s="306"/>
      <c r="E642" s="307"/>
      <c r="F642" s="306"/>
      <c r="G642" s="306"/>
      <c r="H642" s="306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05"/>
      <c r="B643" s="306"/>
      <c r="C643" s="306"/>
      <c r="D643" s="306"/>
      <c r="E643" s="307"/>
      <c r="F643" s="306"/>
      <c r="G643" s="306"/>
      <c r="H643" s="306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05"/>
      <c r="B644" s="306"/>
      <c r="C644" s="306"/>
      <c r="D644" s="306"/>
      <c r="E644" s="307"/>
      <c r="F644" s="306"/>
      <c r="G644" s="306"/>
      <c r="H644" s="306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05"/>
      <c r="B645" s="306"/>
      <c r="C645" s="306"/>
      <c r="D645" s="306"/>
      <c r="E645" s="307"/>
      <c r="F645" s="306"/>
      <c r="G645" s="306"/>
      <c r="H645" s="306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05"/>
      <c r="B646" s="306"/>
      <c r="C646" s="306"/>
      <c r="D646" s="306"/>
      <c r="E646" s="307"/>
      <c r="F646" s="306"/>
      <c r="G646" s="306"/>
      <c r="H646" s="306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05"/>
      <c r="B647" s="306"/>
      <c r="C647" s="306"/>
      <c r="D647" s="306"/>
      <c r="E647" s="307"/>
      <c r="F647" s="306"/>
      <c r="G647" s="306"/>
      <c r="H647" s="306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05"/>
      <c r="B648" s="306"/>
      <c r="C648" s="306"/>
      <c r="D648" s="306"/>
      <c r="E648" s="307"/>
      <c r="F648" s="306"/>
      <c r="G648" s="306"/>
      <c r="H648" s="306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05"/>
      <c r="B649" s="306"/>
      <c r="C649" s="306"/>
      <c r="D649" s="306"/>
      <c r="E649" s="307"/>
      <c r="F649" s="306"/>
      <c r="G649" s="306"/>
      <c r="H649" s="306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05"/>
      <c r="B650" s="306"/>
      <c r="C650" s="306"/>
      <c r="D650" s="306"/>
      <c r="E650" s="307"/>
      <c r="F650" s="306"/>
      <c r="G650" s="306"/>
      <c r="H650" s="306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05"/>
      <c r="B651" s="306"/>
      <c r="C651" s="306"/>
      <c r="D651" s="306"/>
      <c r="E651" s="307"/>
      <c r="F651" s="306"/>
      <c r="G651" s="306"/>
      <c r="H651" s="306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05"/>
      <c r="B652" s="306"/>
      <c r="C652" s="306"/>
      <c r="D652" s="306"/>
      <c r="E652" s="307"/>
      <c r="F652" s="306"/>
      <c r="G652" s="306"/>
      <c r="H652" s="306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05"/>
      <c r="B653" s="306"/>
      <c r="C653" s="306"/>
      <c r="D653" s="306"/>
      <c r="E653" s="307"/>
      <c r="F653" s="306"/>
      <c r="G653" s="306"/>
      <c r="H653" s="306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05"/>
      <c r="B654" s="306"/>
      <c r="C654" s="306"/>
      <c r="D654" s="306"/>
      <c r="E654" s="307"/>
      <c r="F654" s="306"/>
      <c r="G654" s="306"/>
      <c r="H654" s="306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05"/>
      <c r="B655" s="306"/>
      <c r="C655" s="306"/>
      <c r="D655" s="306"/>
      <c r="E655" s="307"/>
      <c r="F655" s="306"/>
      <c r="G655" s="306"/>
      <c r="H655" s="306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05"/>
      <c r="B656" s="306"/>
      <c r="C656" s="306"/>
      <c r="D656" s="306"/>
      <c r="E656" s="307"/>
      <c r="F656" s="306"/>
      <c r="G656" s="306"/>
      <c r="H656" s="306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05"/>
      <c r="B657" s="306"/>
      <c r="C657" s="306"/>
      <c r="D657" s="306"/>
      <c r="E657" s="307"/>
      <c r="F657" s="306"/>
      <c r="G657" s="306"/>
      <c r="H657" s="306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05"/>
      <c r="B658" s="306"/>
      <c r="C658" s="306"/>
      <c r="D658" s="306"/>
      <c r="E658" s="307"/>
      <c r="F658" s="306"/>
      <c r="G658" s="306"/>
      <c r="H658" s="306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05"/>
      <c r="B659" s="306"/>
      <c r="C659" s="306"/>
      <c r="D659" s="306"/>
      <c r="E659" s="307"/>
      <c r="F659" s="306"/>
      <c r="G659" s="306"/>
      <c r="H659" s="306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05"/>
      <c r="B660" s="306"/>
      <c r="C660" s="306"/>
      <c r="D660" s="306"/>
      <c r="E660" s="307"/>
      <c r="F660" s="306"/>
      <c r="G660" s="306"/>
      <c r="H660" s="306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05"/>
      <c r="B661" s="306"/>
      <c r="C661" s="306"/>
      <c r="D661" s="306"/>
      <c r="E661" s="307"/>
      <c r="F661" s="306"/>
      <c r="G661" s="306"/>
      <c r="H661" s="306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05"/>
      <c r="B662" s="306"/>
      <c r="C662" s="306"/>
      <c r="D662" s="306"/>
      <c r="E662" s="307"/>
      <c r="F662" s="306"/>
      <c r="G662" s="306"/>
      <c r="H662" s="306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05"/>
      <c r="B663" s="306"/>
      <c r="C663" s="306"/>
      <c r="D663" s="306"/>
      <c r="E663" s="307"/>
      <c r="F663" s="306"/>
      <c r="G663" s="306"/>
      <c r="H663" s="306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05"/>
      <c r="B664" s="306"/>
      <c r="C664" s="306"/>
      <c r="D664" s="306"/>
      <c r="E664" s="307"/>
      <c r="F664" s="306"/>
      <c r="G664" s="306"/>
      <c r="H664" s="306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05"/>
      <c r="B665" s="306"/>
      <c r="C665" s="306"/>
      <c r="D665" s="306"/>
      <c r="E665" s="307"/>
      <c r="F665" s="306"/>
      <c r="G665" s="306"/>
      <c r="H665" s="306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05"/>
      <c r="B666" s="306"/>
      <c r="C666" s="306"/>
      <c r="D666" s="306"/>
      <c r="E666" s="307"/>
      <c r="F666" s="306"/>
      <c r="G666" s="306"/>
      <c r="H666" s="306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05"/>
      <c r="B667" s="306"/>
      <c r="C667" s="306"/>
      <c r="D667" s="306"/>
      <c r="E667" s="307"/>
      <c r="F667" s="306"/>
      <c r="G667" s="306"/>
      <c r="H667" s="306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05"/>
      <c r="B668" s="306"/>
      <c r="C668" s="306"/>
      <c r="D668" s="306"/>
      <c r="E668" s="307"/>
      <c r="F668" s="306"/>
      <c r="G668" s="306"/>
      <c r="H668" s="306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05"/>
      <c r="B669" s="306"/>
      <c r="C669" s="306"/>
      <c r="D669" s="306"/>
      <c r="E669" s="307"/>
      <c r="F669" s="306"/>
      <c r="G669" s="306"/>
      <c r="H669" s="306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05"/>
      <c r="B670" s="306"/>
      <c r="C670" s="306"/>
      <c r="D670" s="306"/>
      <c r="E670" s="307"/>
      <c r="F670" s="306"/>
      <c r="G670" s="306"/>
      <c r="H670" s="306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05"/>
      <c r="B671" s="306"/>
      <c r="C671" s="306"/>
      <c r="D671" s="306"/>
      <c r="E671" s="307"/>
      <c r="F671" s="306"/>
      <c r="G671" s="306"/>
      <c r="H671" s="306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05"/>
      <c r="B672" s="306"/>
      <c r="C672" s="306"/>
      <c r="D672" s="306"/>
      <c r="E672" s="307"/>
      <c r="F672" s="306"/>
      <c r="G672" s="306"/>
      <c r="H672" s="306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05"/>
      <c r="B673" s="306"/>
      <c r="C673" s="306"/>
      <c r="D673" s="306"/>
      <c r="E673" s="307"/>
      <c r="F673" s="306"/>
      <c r="G673" s="306"/>
      <c r="H673" s="306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05"/>
      <c r="B674" s="306"/>
      <c r="C674" s="306"/>
      <c r="D674" s="306"/>
      <c r="E674" s="307"/>
      <c r="F674" s="306"/>
      <c r="G674" s="306"/>
      <c r="H674" s="306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05"/>
      <c r="B675" s="306"/>
      <c r="C675" s="306"/>
      <c r="D675" s="306"/>
      <c r="E675" s="307"/>
      <c r="F675" s="306"/>
      <c r="G675" s="306"/>
      <c r="H675" s="306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05"/>
      <c r="B676" s="306"/>
      <c r="C676" s="306"/>
      <c r="D676" s="306"/>
      <c r="E676" s="307"/>
      <c r="F676" s="306"/>
      <c r="G676" s="306"/>
      <c r="H676" s="306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05"/>
      <c r="B677" s="306"/>
      <c r="C677" s="306"/>
      <c r="D677" s="306"/>
      <c r="E677" s="307"/>
      <c r="F677" s="306"/>
      <c r="G677" s="306"/>
      <c r="H677" s="306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05"/>
      <c r="B678" s="306"/>
      <c r="C678" s="306"/>
      <c r="D678" s="306"/>
      <c r="E678" s="307"/>
      <c r="F678" s="306"/>
      <c r="G678" s="306"/>
      <c r="H678" s="306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05"/>
      <c r="B679" s="306"/>
      <c r="C679" s="306"/>
      <c r="D679" s="306"/>
      <c r="E679" s="307"/>
      <c r="F679" s="306"/>
      <c r="G679" s="306"/>
      <c r="H679" s="306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05"/>
      <c r="B680" s="306"/>
      <c r="C680" s="306"/>
      <c r="D680" s="306"/>
      <c r="E680" s="307"/>
      <c r="F680" s="306"/>
      <c r="G680" s="306"/>
      <c r="H680" s="306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05"/>
      <c r="B681" s="306"/>
      <c r="C681" s="306"/>
      <c r="D681" s="306"/>
      <c r="E681" s="307"/>
      <c r="F681" s="306"/>
      <c r="G681" s="306"/>
      <c r="H681" s="306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05"/>
      <c r="B682" s="306"/>
      <c r="C682" s="306"/>
      <c r="D682" s="306"/>
      <c r="E682" s="307"/>
      <c r="F682" s="306"/>
      <c r="G682" s="306"/>
      <c r="H682" s="306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05"/>
      <c r="B683" s="306"/>
      <c r="C683" s="306"/>
      <c r="D683" s="306"/>
      <c r="E683" s="307"/>
      <c r="F683" s="306"/>
      <c r="G683" s="306"/>
      <c r="H683" s="306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05"/>
      <c r="B684" s="306"/>
      <c r="C684" s="306"/>
      <c r="D684" s="306"/>
      <c r="E684" s="307"/>
      <c r="F684" s="306"/>
      <c r="G684" s="306"/>
      <c r="H684" s="306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05"/>
      <c r="B685" s="306"/>
      <c r="C685" s="306"/>
      <c r="D685" s="306"/>
      <c r="E685" s="307"/>
      <c r="F685" s="306"/>
      <c r="G685" s="306"/>
      <c r="H685" s="306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05"/>
      <c r="B686" s="306"/>
      <c r="C686" s="306"/>
      <c r="D686" s="306"/>
      <c r="E686" s="307"/>
      <c r="F686" s="306"/>
      <c r="G686" s="306"/>
      <c r="H686" s="306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05"/>
      <c r="B687" s="306"/>
      <c r="C687" s="306"/>
      <c r="D687" s="306"/>
      <c r="E687" s="307"/>
      <c r="F687" s="306"/>
      <c r="G687" s="306"/>
      <c r="H687" s="306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05"/>
      <c r="B688" s="306"/>
      <c r="C688" s="306"/>
      <c r="D688" s="306"/>
      <c r="E688" s="307"/>
      <c r="F688" s="306"/>
      <c r="G688" s="306"/>
      <c r="H688" s="306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05"/>
      <c r="B689" s="306"/>
      <c r="C689" s="306"/>
      <c r="D689" s="306"/>
      <c r="E689" s="307"/>
      <c r="F689" s="306"/>
      <c r="G689" s="306"/>
      <c r="H689" s="306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05"/>
      <c r="B690" s="306"/>
      <c r="C690" s="306"/>
      <c r="D690" s="306"/>
      <c r="E690" s="307"/>
      <c r="F690" s="306"/>
      <c r="G690" s="306"/>
      <c r="H690" s="306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05"/>
      <c r="B691" s="306"/>
      <c r="C691" s="306"/>
      <c r="D691" s="306"/>
      <c r="E691" s="307"/>
      <c r="F691" s="306"/>
      <c r="G691" s="306"/>
      <c r="H691" s="306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05"/>
      <c r="B692" s="306"/>
      <c r="C692" s="306"/>
      <c r="D692" s="306"/>
      <c r="E692" s="307"/>
      <c r="F692" s="306"/>
      <c r="G692" s="306"/>
      <c r="H692" s="306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05"/>
      <c r="B693" s="306"/>
      <c r="C693" s="306"/>
      <c r="D693" s="306"/>
      <c r="E693" s="307"/>
      <c r="F693" s="306"/>
      <c r="G693" s="306"/>
      <c r="H693" s="306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05"/>
      <c r="B694" s="306"/>
      <c r="C694" s="306"/>
      <c r="D694" s="306"/>
      <c r="E694" s="307"/>
      <c r="F694" s="306"/>
      <c r="G694" s="306"/>
      <c r="H694" s="306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05"/>
      <c r="B695" s="306"/>
      <c r="C695" s="306"/>
      <c r="D695" s="306"/>
      <c r="E695" s="307"/>
      <c r="F695" s="306"/>
      <c r="G695" s="306"/>
      <c r="H695" s="306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05"/>
      <c r="B696" s="306"/>
      <c r="C696" s="306"/>
      <c r="D696" s="306"/>
      <c r="E696" s="307"/>
      <c r="F696" s="306"/>
      <c r="G696" s="306"/>
      <c r="H696" s="306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05"/>
      <c r="B697" s="306"/>
      <c r="C697" s="306"/>
      <c r="D697" s="306"/>
      <c r="E697" s="307"/>
      <c r="F697" s="306"/>
      <c r="G697" s="306"/>
      <c r="H697" s="306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05"/>
      <c r="B698" s="306"/>
      <c r="C698" s="306"/>
      <c r="D698" s="306"/>
      <c r="E698" s="307"/>
      <c r="F698" s="306"/>
      <c r="G698" s="306"/>
      <c r="H698" s="306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05"/>
      <c r="B699" s="306"/>
      <c r="C699" s="306"/>
      <c r="D699" s="306"/>
      <c r="E699" s="307"/>
      <c r="F699" s="306"/>
      <c r="G699" s="306"/>
      <c r="H699" s="306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05"/>
      <c r="B700" s="306"/>
      <c r="C700" s="306"/>
      <c r="D700" s="306"/>
      <c r="E700" s="307"/>
      <c r="F700" s="306"/>
      <c r="G700" s="306"/>
      <c r="H700" s="306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05"/>
      <c r="B701" s="306"/>
      <c r="C701" s="306"/>
      <c r="D701" s="306"/>
      <c r="E701" s="307"/>
      <c r="F701" s="306"/>
      <c r="G701" s="306"/>
      <c r="H701" s="306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05"/>
      <c r="B702" s="306"/>
      <c r="C702" s="306"/>
      <c r="D702" s="306"/>
      <c r="E702" s="307"/>
      <c r="F702" s="306"/>
      <c r="G702" s="306"/>
      <c r="H702" s="306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05"/>
      <c r="B703" s="306"/>
      <c r="C703" s="306"/>
      <c r="D703" s="306"/>
      <c r="E703" s="307"/>
      <c r="F703" s="306"/>
      <c r="G703" s="306"/>
      <c r="H703" s="306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05"/>
      <c r="B704" s="306"/>
      <c r="C704" s="306"/>
      <c r="D704" s="306"/>
      <c r="E704" s="307"/>
      <c r="F704" s="306"/>
      <c r="G704" s="306"/>
      <c r="H704" s="306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05"/>
      <c r="B705" s="306"/>
      <c r="C705" s="306"/>
      <c r="D705" s="306"/>
      <c r="E705" s="307"/>
      <c r="F705" s="306"/>
      <c r="G705" s="306"/>
      <c r="H705" s="306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05"/>
      <c r="B706" s="306"/>
      <c r="C706" s="306"/>
      <c r="D706" s="306"/>
      <c r="E706" s="307"/>
      <c r="F706" s="306"/>
      <c r="G706" s="306"/>
      <c r="H706" s="306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05"/>
      <c r="B707" s="306"/>
      <c r="C707" s="306"/>
      <c r="D707" s="306"/>
      <c r="E707" s="307"/>
      <c r="F707" s="306"/>
      <c r="G707" s="306"/>
      <c r="H707" s="306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05"/>
      <c r="B708" s="306"/>
      <c r="C708" s="306"/>
      <c r="D708" s="306"/>
      <c r="E708" s="307"/>
      <c r="F708" s="306"/>
      <c r="G708" s="306"/>
      <c r="H708" s="306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05"/>
      <c r="B709" s="306"/>
      <c r="C709" s="306"/>
      <c r="D709" s="306"/>
      <c r="E709" s="307"/>
      <c r="F709" s="306"/>
      <c r="G709" s="306"/>
      <c r="H709" s="306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05"/>
      <c r="B710" s="306"/>
      <c r="C710" s="306"/>
      <c r="D710" s="306"/>
      <c r="E710" s="307"/>
      <c r="F710" s="306"/>
      <c r="G710" s="306"/>
      <c r="H710" s="306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05"/>
      <c r="B711" s="306"/>
      <c r="C711" s="306"/>
      <c r="D711" s="306"/>
      <c r="E711" s="307"/>
      <c r="F711" s="306"/>
      <c r="G711" s="306"/>
      <c r="H711" s="306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05"/>
      <c r="B712" s="306"/>
      <c r="C712" s="306"/>
      <c r="D712" s="306"/>
      <c r="E712" s="307"/>
      <c r="F712" s="306"/>
      <c r="G712" s="306"/>
      <c r="H712" s="306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05"/>
      <c r="B713" s="306"/>
      <c r="C713" s="306"/>
      <c r="D713" s="306"/>
      <c r="E713" s="307"/>
      <c r="F713" s="306"/>
      <c r="G713" s="306"/>
      <c r="H713" s="306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05"/>
      <c r="B714" s="306"/>
      <c r="C714" s="306"/>
      <c r="D714" s="306"/>
      <c r="E714" s="307"/>
      <c r="F714" s="306"/>
      <c r="G714" s="306"/>
      <c r="H714" s="306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05"/>
      <c r="B715" s="306"/>
      <c r="C715" s="306"/>
      <c r="D715" s="306"/>
      <c r="E715" s="307"/>
      <c r="F715" s="306"/>
      <c r="G715" s="306"/>
      <c r="H715" s="306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05"/>
      <c r="B716" s="306"/>
      <c r="C716" s="306"/>
      <c r="D716" s="306"/>
      <c r="E716" s="307"/>
      <c r="F716" s="306"/>
      <c r="G716" s="306"/>
      <c r="H716" s="306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05"/>
      <c r="B717" s="306"/>
      <c r="C717" s="306"/>
      <c r="D717" s="306"/>
      <c r="E717" s="307"/>
      <c r="F717" s="306"/>
      <c r="G717" s="306"/>
      <c r="H717" s="306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05"/>
      <c r="B718" s="306"/>
      <c r="C718" s="306"/>
      <c r="D718" s="306"/>
      <c r="E718" s="307"/>
      <c r="F718" s="306"/>
      <c r="G718" s="306"/>
      <c r="H718" s="306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05"/>
      <c r="B719" s="306"/>
      <c r="C719" s="306"/>
      <c r="D719" s="306"/>
      <c r="E719" s="307"/>
      <c r="F719" s="306"/>
      <c r="G719" s="306"/>
      <c r="H719" s="306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05"/>
      <c r="B720" s="306"/>
      <c r="C720" s="306"/>
      <c r="D720" s="306"/>
      <c r="E720" s="307"/>
      <c r="F720" s="306"/>
      <c r="G720" s="306"/>
      <c r="H720" s="306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05"/>
      <c r="B721" s="306"/>
      <c r="C721" s="306"/>
      <c r="D721" s="306"/>
      <c r="E721" s="307"/>
      <c r="F721" s="306"/>
      <c r="G721" s="306"/>
      <c r="H721" s="306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05"/>
      <c r="B722" s="306"/>
      <c r="C722" s="306"/>
      <c r="D722" s="306"/>
      <c r="E722" s="307"/>
      <c r="F722" s="306"/>
      <c r="G722" s="306"/>
      <c r="H722" s="306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05"/>
      <c r="B723" s="306"/>
      <c r="C723" s="306"/>
      <c r="D723" s="306"/>
      <c r="E723" s="307"/>
      <c r="F723" s="306"/>
      <c r="G723" s="306"/>
      <c r="H723" s="306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05"/>
      <c r="B724" s="306"/>
      <c r="C724" s="306"/>
      <c r="D724" s="306"/>
      <c r="E724" s="307"/>
      <c r="F724" s="306"/>
      <c r="G724" s="306"/>
      <c r="H724" s="306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05"/>
      <c r="B725" s="306"/>
      <c r="C725" s="306"/>
      <c r="D725" s="306"/>
      <c r="E725" s="307"/>
      <c r="F725" s="306"/>
      <c r="G725" s="306"/>
      <c r="H725" s="306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05"/>
      <c r="B726" s="306"/>
      <c r="C726" s="306"/>
      <c r="D726" s="306"/>
      <c r="E726" s="307"/>
      <c r="F726" s="306"/>
      <c r="G726" s="306"/>
      <c r="H726" s="306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05"/>
      <c r="B727" s="306"/>
      <c r="C727" s="306"/>
      <c r="D727" s="306"/>
      <c r="E727" s="307"/>
      <c r="F727" s="306"/>
      <c r="G727" s="306"/>
      <c r="H727" s="306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05"/>
      <c r="B728" s="306"/>
      <c r="C728" s="306"/>
      <c r="D728" s="306"/>
      <c r="E728" s="307"/>
      <c r="F728" s="306"/>
      <c r="G728" s="306"/>
      <c r="H728" s="306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05"/>
      <c r="B729" s="306"/>
      <c r="C729" s="306"/>
      <c r="D729" s="306"/>
      <c r="E729" s="307"/>
      <c r="F729" s="306"/>
      <c r="G729" s="306"/>
      <c r="H729" s="306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05"/>
      <c r="B730" s="306"/>
      <c r="C730" s="306"/>
      <c r="D730" s="306"/>
      <c r="E730" s="307"/>
      <c r="F730" s="306"/>
      <c r="G730" s="306"/>
      <c r="H730" s="306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05"/>
      <c r="B731" s="306"/>
      <c r="C731" s="306"/>
      <c r="D731" s="306"/>
      <c r="E731" s="307"/>
      <c r="F731" s="306"/>
      <c r="G731" s="306"/>
      <c r="H731" s="306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05"/>
      <c r="B732" s="306"/>
      <c r="C732" s="306"/>
      <c r="D732" s="306"/>
      <c r="E732" s="307"/>
      <c r="F732" s="306"/>
      <c r="G732" s="306"/>
      <c r="H732" s="306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05"/>
      <c r="B733" s="306"/>
      <c r="C733" s="306"/>
      <c r="D733" s="306"/>
      <c r="E733" s="307"/>
      <c r="F733" s="306"/>
      <c r="G733" s="306"/>
      <c r="H733" s="306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05"/>
      <c r="B734" s="306"/>
      <c r="C734" s="306"/>
      <c r="D734" s="306"/>
      <c r="E734" s="307"/>
      <c r="F734" s="306"/>
      <c r="G734" s="306"/>
      <c r="H734" s="306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05"/>
      <c r="B735" s="306"/>
      <c r="C735" s="306"/>
      <c r="D735" s="306"/>
      <c r="E735" s="307"/>
      <c r="F735" s="306"/>
      <c r="G735" s="306"/>
      <c r="H735" s="306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05"/>
      <c r="B736" s="306"/>
      <c r="C736" s="306"/>
      <c r="D736" s="306"/>
      <c r="E736" s="307"/>
      <c r="F736" s="306"/>
      <c r="G736" s="306"/>
      <c r="H736" s="306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05"/>
      <c r="B737" s="306"/>
      <c r="C737" s="306"/>
      <c r="D737" s="306"/>
      <c r="E737" s="307"/>
      <c r="F737" s="306"/>
      <c r="G737" s="306"/>
      <c r="H737" s="306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05"/>
      <c r="B738" s="306"/>
      <c r="C738" s="306"/>
      <c r="D738" s="306"/>
      <c r="E738" s="307"/>
      <c r="F738" s="306"/>
      <c r="G738" s="306"/>
      <c r="H738" s="306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05"/>
      <c r="B739" s="306"/>
      <c r="C739" s="306"/>
      <c r="D739" s="306"/>
      <c r="E739" s="307"/>
      <c r="F739" s="306"/>
      <c r="G739" s="306"/>
      <c r="H739" s="306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05"/>
      <c r="B740" s="306"/>
      <c r="C740" s="306"/>
      <c r="D740" s="306"/>
      <c r="E740" s="307"/>
      <c r="F740" s="306"/>
      <c r="G740" s="306"/>
      <c r="H740" s="306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05"/>
      <c r="B741" s="306"/>
      <c r="C741" s="306"/>
      <c r="D741" s="306"/>
      <c r="E741" s="307"/>
      <c r="F741" s="306"/>
      <c r="G741" s="306"/>
      <c r="H741" s="306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05"/>
      <c r="B742" s="306"/>
      <c r="C742" s="306"/>
      <c r="D742" s="306"/>
      <c r="E742" s="307"/>
      <c r="F742" s="306"/>
      <c r="G742" s="306"/>
      <c r="H742" s="306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05"/>
      <c r="B743" s="306"/>
      <c r="C743" s="306"/>
      <c r="D743" s="306"/>
      <c r="E743" s="307"/>
      <c r="F743" s="306"/>
      <c r="G743" s="306"/>
      <c r="H743" s="306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05"/>
      <c r="B744" s="306"/>
      <c r="C744" s="306"/>
      <c r="D744" s="306"/>
      <c r="E744" s="307"/>
      <c r="F744" s="306"/>
      <c r="G744" s="306"/>
      <c r="H744" s="306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05"/>
      <c r="B745" s="306"/>
      <c r="C745" s="306"/>
      <c r="D745" s="306"/>
      <c r="E745" s="307"/>
      <c r="F745" s="306"/>
      <c r="G745" s="306"/>
      <c r="H745" s="306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05"/>
      <c r="B746" s="306"/>
      <c r="C746" s="306"/>
      <c r="D746" s="306"/>
      <c r="E746" s="307"/>
      <c r="F746" s="306"/>
      <c r="G746" s="306"/>
      <c r="H746" s="306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05"/>
      <c r="B747" s="306"/>
      <c r="C747" s="306"/>
      <c r="D747" s="306"/>
      <c r="E747" s="307"/>
      <c r="F747" s="306"/>
      <c r="G747" s="306"/>
      <c r="H747" s="306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05"/>
      <c r="B748" s="306"/>
      <c r="C748" s="306"/>
      <c r="D748" s="306"/>
      <c r="E748" s="307"/>
      <c r="F748" s="306"/>
      <c r="G748" s="306"/>
      <c r="H748" s="306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05"/>
      <c r="B749" s="306"/>
      <c r="C749" s="306"/>
      <c r="D749" s="306"/>
      <c r="E749" s="307"/>
      <c r="F749" s="306"/>
      <c r="G749" s="306"/>
      <c r="H749" s="306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05"/>
      <c r="B750" s="306"/>
      <c r="C750" s="306"/>
      <c r="D750" s="306"/>
      <c r="E750" s="307"/>
      <c r="F750" s="306"/>
      <c r="G750" s="306"/>
      <c r="H750" s="306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05"/>
      <c r="B751" s="306"/>
      <c r="C751" s="306"/>
      <c r="D751" s="306"/>
      <c r="E751" s="307"/>
      <c r="F751" s="306"/>
      <c r="G751" s="306"/>
      <c r="H751" s="306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05"/>
      <c r="B752" s="306"/>
      <c r="C752" s="306"/>
      <c r="D752" s="306"/>
      <c r="E752" s="307"/>
      <c r="F752" s="306"/>
      <c r="G752" s="306"/>
      <c r="H752" s="306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05"/>
      <c r="B753" s="306"/>
      <c r="C753" s="306"/>
      <c r="D753" s="306"/>
      <c r="E753" s="307"/>
      <c r="F753" s="306"/>
      <c r="G753" s="306"/>
      <c r="H753" s="306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05"/>
      <c r="B754" s="306"/>
      <c r="C754" s="306"/>
      <c r="D754" s="306"/>
      <c r="E754" s="307"/>
      <c r="F754" s="306"/>
      <c r="G754" s="306"/>
      <c r="H754" s="306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05"/>
      <c r="B755" s="306"/>
      <c r="C755" s="306"/>
      <c r="D755" s="306"/>
      <c r="E755" s="307"/>
      <c r="F755" s="306"/>
      <c r="G755" s="306"/>
      <c r="H755" s="306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05"/>
      <c r="B756" s="306"/>
      <c r="C756" s="306"/>
      <c r="D756" s="306"/>
      <c r="E756" s="307"/>
      <c r="F756" s="306"/>
      <c r="G756" s="306"/>
      <c r="H756" s="306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05"/>
      <c r="B757" s="306"/>
      <c r="C757" s="306"/>
      <c r="D757" s="306"/>
      <c r="E757" s="307"/>
      <c r="F757" s="306"/>
      <c r="G757" s="306"/>
      <c r="H757" s="306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05"/>
      <c r="B758" s="306"/>
      <c r="C758" s="306"/>
      <c r="D758" s="306"/>
      <c r="E758" s="307"/>
      <c r="F758" s="306"/>
      <c r="G758" s="306"/>
      <c r="H758" s="306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05"/>
      <c r="B759" s="306"/>
      <c r="C759" s="306"/>
      <c r="D759" s="306"/>
      <c r="E759" s="307"/>
      <c r="F759" s="306"/>
      <c r="G759" s="306"/>
      <c r="H759" s="306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05"/>
      <c r="B760" s="306"/>
      <c r="C760" s="306"/>
      <c r="D760" s="306"/>
      <c r="E760" s="307"/>
      <c r="F760" s="306"/>
      <c r="G760" s="306"/>
      <c r="H760" s="306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05"/>
      <c r="B761" s="306"/>
      <c r="C761" s="306"/>
      <c r="D761" s="306"/>
      <c r="E761" s="307"/>
      <c r="F761" s="306"/>
      <c r="G761" s="306"/>
      <c r="H761" s="306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05"/>
      <c r="B762" s="306"/>
      <c r="C762" s="306"/>
      <c r="D762" s="306"/>
      <c r="E762" s="307"/>
      <c r="F762" s="306"/>
      <c r="G762" s="306"/>
      <c r="H762" s="306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05"/>
      <c r="B763" s="306"/>
      <c r="C763" s="306"/>
      <c r="D763" s="306"/>
      <c r="E763" s="307"/>
      <c r="F763" s="306"/>
      <c r="G763" s="306"/>
      <c r="H763" s="306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05"/>
      <c r="B764" s="306"/>
      <c r="C764" s="306"/>
      <c r="D764" s="306"/>
      <c r="E764" s="307"/>
      <c r="F764" s="306"/>
      <c r="G764" s="306"/>
      <c r="H764" s="306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05"/>
      <c r="B765" s="306"/>
      <c r="C765" s="306"/>
      <c r="D765" s="306"/>
      <c r="E765" s="307"/>
      <c r="F765" s="306"/>
      <c r="G765" s="306"/>
      <c r="H765" s="306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05"/>
      <c r="B766" s="306"/>
      <c r="C766" s="306"/>
      <c r="D766" s="306"/>
      <c r="E766" s="307"/>
      <c r="F766" s="306"/>
      <c r="G766" s="306"/>
      <c r="H766" s="306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05"/>
      <c r="B767" s="306"/>
      <c r="C767" s="306"/>
      <c r="D767" s="306"/>
      <c r="E767" s="307"/>
      <c r="F767" s="306"/>
      <c r="G767" s="306"/>
      <c r="H767" s="306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05"/>
      <c r="B768" s="306"/>
      <c r="C768" s="306"/>
      <c r="D768" s="306"/>
      <c r="E768" s="307"/>
      <c r="F768" s="306"/>
      <c r="G768" s="306"/>
      <c r="H768" s="306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05"/>
      <c r="B769" s="306"/>
      <c r="C769" s="306"/>
      <c r="D769" s="306"/>
      <c r="E769" s="307"/>
      <c r="F769" s="306"/>
      <c r="G769" s="306"/>
      <c r="H769" s="306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05"/>
      <c r="B770" s="306"/>
      <c r="C770" s="306"/>
      <c r="D770" s="306"/>
      <c r="E770" s="307"/>
      <c r="F770" s="306"/>
      <c r="G770" s="306"/>
      <c r="H770" s="306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05"/>
      <c r="B771" s="306"/>
      <c r="C771" s="306"/>
      <c r="D771" s="306"/>
      <c r="E771" s="307"/>
      <c r="F771" s="306"/>
      <c r="G771" s="306"/>
      <c r="H771" s="306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05"/>
      <c r="B772" s="306"/>
      <c r="C772" s="306"/>
      <c r="D772" s="306"/>
      <c r="E772" s="307"/>
      <c r="F772" s="306"/>
      <c r="G772" s="306"/>
      <c r="H772" s="306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05"/>
      <c r="B773" s="306"/>
      <c r="C773" s="306"/>
      <c r="D773" s="306"/>
      <c r="E773" s="307"/>
      <c r="F773" s="306"/>
      <c r="G773" s="306"/>
      <c r="H773" s="306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05"/>
      <c r="B774" s="306"/>
      <c r="C774" s="306"/>
      <c r="D774" s="306"/>
      <c r="E774" s="307"/>
      <c r="F774" s="306"/>
      <c r="G774" s="306"/>
      <c r="H774" s="306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05"/>
      <c r="B775" s="306"/>
      <c r="C775" s="306"/>
      <c r="D775" s="306"/>
      <c r="E775" s="307"/>
      <c r="F775" s="306"/>
      <c r="G775" s="306"/>
      <c r="H775" s="306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05"/>
      <c r="B776" s="306"/>
      <c r="C776" s="306"/>
      <c r="D776" s="306"/>
      <c r="E776" s="307"/>
      <c r="F776" s="306"/>
      <c r="G776" s="306"/>
      <c r="H776" s="306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05"/>
      <c r="B777" s="306"/>
      <c r="C777" s="306"/>
      <c r="D777" s="306"/>
      <c r="E777" s="307"/>
      <c r="F777" s="306"/>
      <c r="G777" s="306"/>
      <c r="H777" s="306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05"/>
      <c r="B778" s="306"/>
      <c r="C778" s="306"/>
      <c r="D778" s="306"/>
      <c r="E778" s="307"/>
      <c r="F778" s="306"/>
      <c r="G778" s="306"/>
      <c r="H778" s="306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05"/>
      <c r="B779" s="306"/>
      <c r="C779" s="306"/>
      <c r="D779" s="306"/>
      <c r="E779" s="307"/>
      <c r="F779" s="306"/>
      <c r="G779" s="306"/>
      <c r="H779" s="306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05"/>
      <c r="B780" s="306"/>
      <c r="C780" s="306"/>
      <c r="D780" s="306"/>
      <c r="E780" s="307"/>
      <c r="F780" s="306"/>
      <c r="G780" s="306"/>
      <c r="H780" s="306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05"/>
      <c r="B781" s="306"/>
      <c r="C781" s="306"/>
      <c r="D781" s="306"/>
      <c r="E781" s="307"/>
      <c r="F781" s="306"/>
      <c r="G781" s="306"/>
      <c r="H781" s="306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05"/>
      <c r="B782" s="306"/>
      <c r="C782" s="306"/>
      <c r="D782" s="306"/>
      <c r="E782" s="307"/>
      <c r="F782" s="306"/>
      <c r="G782" s="306"/>
      <c r="H782" s="306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05"/>
      <c r="B783" s="306"/>
      <c r="C783" s="306"/>
      <c r="D783" s="306"/>
      <c r="E783" s="307"/>
      <c r="F783" s="306"/>
      <c r="G783" s="306"/>
      <c r="H783" s="306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05"/>
      <c r="B784" s="306"/>
      <c r="C784" s="306"/>
      <c r="D784" s="306"/>
      <c r="E784" s="307"/>
      <c r="F784" s="306"/>
      <c r="G784" s="306"/>
      <c r="H784" s="306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05"/>
      <c r="B785" s="306"/>
      <c r="C785" s="306"/>
      <c r="D785" s="306"/>
      <c r="E785" s="307"/>
      <c r="F785" s="306"/>
      <c r="G785" s="306"/>
      <c r="H785" s="306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05"/>
      <c r="B786" s="306"/>
      <c r="C786" s="306"/>
      <c r="D786" s="306"/>
      <c r="E786" s="307"/>
      <c r="F786" s="306"/>
      <c r="G786" s="306"/>
      <c r="H786" s="306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05"/>
      <c r="B787" s="306"/>
      <c r="C787" s="306"/>
      <c r="D787" s="306"/>
      <c r="E787" s="307"/>
      <c r="F787" s="306"/>
      <c r="G787" s="306"/>
      <c r="H787" s="306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05"/>
      <c r="B788" s="306"/>
      <c r="C788" s="306"/>
      <c r="D788" s="306"/>
      <c r="E788" s="307"/>
      <c r="F788" s="306"/>
      <c r="G788" s="306"/>
      <c r="H788" s="306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05"/>
      <c r="B789" s="306"/>
      <c r="C789" s="306"/>
      <c r="D789" s="306"/>
      <c r="E789" s="307"/>
      <c r="F789" s="306"/>
      <c r="G789" s="306"/>
      <c r="H789" s="306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05"/>
      <c r="B790" s="306"/>
      <c r="C790" s="306"/>
      <c r="D790" s="306"/>
      <c r="E790" s="307"/>
      <c r="F790" s="306"/>
      <c r="G790" s="306"/>
      <c r="H790" s="306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05"/>
      <c r="B791" s="306"/>
      <c r="C791" s="306"/>
      <c r="D791" s="306"/>
      <c r="E791" s="307"/>
      <c r="F791" s="306"/>
      <c r="G791" s="306"/>
      <c r="H791" s="306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05"/>
      <c r="B792" s="306"/>
      <c r="C792" s="306"/>
      <c r="D792" s="306"/>
      <c r="E792" s="307"/>
      <c r="F792" s="306"/>
      <c r="G792" s="306"/>
      <c r="H792" s="306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05"/>
      <c r="B793" s="306"/>
      <c r="C793" s="306"/>
      <c r="D793" s="306"/>
      <c r="E793" s="307"/>
      <c r="F793" s="306"/>
      <c r="G793" s="306"/>
      <c r="H793" s="306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05"/>
      <c r="B794" s="306"/>
      <c r="C794" s="306"/>
      <c r="D794" s="306"/>
      <c r="E794" s="307"/>
      <c r="F794" s="306"/>
      <c r="G794" s="306"/>
      <c r="H794" s="306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05"/>
      <c r="B795" s="306"/>
      <c r="C795" s="306"/>
      <c r="D795" s="306"/>
      <c r="E795" s="307"/>
      <c r="F795" s="306"/>
      <c r="G795" s="306"/>
      <c r="H795" s="306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05"/>
      <c r="B796" s="306"/>
      <c r="C796" s="306"/>
      <c r="D796" s="306"/>
      <c r="E796" s="307"/>
      <c r="F796" s="306"/>
      <c r="G796" s="306"/>
      <c r="H796" s="306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05"/>
      <c r="B797" s="306"/>
      <c r="C797" s="306"/>
      <c r="D797" s="306"/>
      <c r="E797" s="307"/>
      <c r="F797" s="306"/>
      <c r="G797" s="306"/>
      <c r="H797" s="306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05"/>
      <c r="B798" s="306"/>
      <c r="C798" s="306"/>
      <c r="D798" s="306"/>
      <c r="E798" s="307"/>
      <c r="F798" s="306"/>
      <c r="G798" s="306"/>
      <c r="H798" s="306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05"/>
      <c r="B799" s="306"/>
      <c r="C799" s="306"/>
      <c r="D799" s="306"/>
      <c r="E799" s="307"/>
      <c r="F799" s="306"/>
      <c r="G799" s="306"/>
      <c r="H799" s="306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05"/>
      <c r="B800" s="306"/>
      <c r="C800" s="306"/>
      <c r="D800" s="306"/>
      <c r="E800" s="307"/>
      <c r="F800" s="306"/>
      <c r="G800" s="306"/>
      <c r="H800" s="306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05"/>
      <c r="B801" s="306"/>
      <c r="C801" s="306"/>
      <c r="D801" s="306"/>
      <c r="E801" s="307"/>
      <c r="F801" s="306"/>
      <c r="G801" s="306"/>
      <c r="H801" s="306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05"/>
      <c r="B802" s="306"/>
      <c r="C802" s="306"/>
      <c r="D802" s="306"/>
      <c r="E802" s="307"/>
      <c r="F802" s="306"/>
      <c r="G802" s="306"/>
      <c r="H802" s="306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05"/>
      <c r="B803" s="306"/>
      <c r="C803" s="306"/>
      <c r="D803" s="306"/>
      <c r="E803" s="307"/>
      <c r="F803" s="306"/>
      <c r="G803" s="306"/>
      <c r="H803" s="306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05"/>
      <c r="B804" s="306"/>
      <c r="C804" s="306"/>
      <c r="D804" s="306"/>
      <c r="E804" s="307"/>
      <c r="F804" s="306"/>
      <c r="G804" s="306"/>
      <c r="H804" s="306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05"/>
      <c r="B805" s="306"/>
      <c r="C805" s="306"/>
      <c r="D805" s="306"/>
      <c r="E805" s="307"/>
      <c r="F805" s="306"/>
      <c r="G805" s="306"/>
      <c r="H805" s="306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05"/>
      <c r="B806" s="306"/>
      <c r="C806" s="306"/>
      <c r="D806" s="306"/>
      <c r="E806" s="307"/>
      <c r="F806" s="306"/>
      <c r="G806" s="306"/>
      <c r="H806" s="306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05"/>
      <c r="B807" s="306"/>
      <c r="C807" s="306"/>
      <c r="D807" s="306"/>
      <c r="E807" s="307"/>
      <c r="F807" s="306"/>
      <c r="G807" s="306"/>
      <c r="H807" s="306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05"/>
      <c r="B808" s="306"/>
      <c r="C808" s="306"/>
      <c r="D808" s="306"/>
      <c r="E808" s="307"/>
      <c r="F808" s="306"/>
      <c r="G808" s="306"/>
      <c r="H808" s="306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05"/>
      <c r="B809" s="306"/>
      <c r="C809" s="306"/>
      <c r="D809" s="306"/>
      <c r="E809" s="307"/>
      <c r="F809" s="306"/>
      <c r="G809" s="306"/>
      <c r="H809" s="306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05"/>
      <c r="B810" s="306"/>
      <c r="C810" s="306"/>
      <c r="D810" s="306"/>
      <c r="E810" s="307"/>
      <c r="F810" s="306"/>
      <c r="G810" s="306"/>
      <c r="H810" s="306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05"/>
      <c r="B811" s="306"/>
      <c r="C811" s="306"/>
      <c r="D811" s="306"/>
      <c r="E811" s="307"/>
      <c r="F811" s="306"/>
      <c r="G811" s="306"/>
      <c r="H811" s="306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05"/>
      <c r="B812" s="306"/>
      <c r="C812" s="306"/>
      <c r="D812" s="306"/>
      <c r="E812" s="307"/>
      <c r="F812" s="306"/>
      <c r="G812" s="306"/>
      <c r="H812" s="306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05"/>
      <c r="B813" s="306"/>
      <c r="C813" s="306"/>
      <c r="D813" s="306"/>
      <c r="E813" s="307"/>
      <c r="F813" s="306"/>
      <c r="G813" s="306"/>
      <c r="H813" s="306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05"/>
      <c r="B814" s="306"/>
      <c r="C814" s="306"/>
      <c r="D814" s="306"/>
      <c r="E814" s="307"/>
      <c r="F814" s="306"/>
      <c r="G814" s="306"/>
      <c r="H814" s="306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05"/>
      <c r="B815" s="306"/>
      <c r="C815" s="306"/>
      <c r="D815" s="306"/>
      <c r="E815" s="307"/>
      <c r="F815" s="306"/>
      <c r="G815" s="306"/>
      <c r="H815" s="306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05"/>
      <c r="B816" s="306"/>
      <c r="C816" s="306"/>
      <c r="D816" s="306"/>
      <c r="E816" s="307"/>
      <c r="F816" s="306"/>
      <c r="G816" s="306"/>
      <c r="H816" s="306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05"/>
      <c r="B817" s="306"/>
      <c r="C817" s="306"/>
      <c r="D817" s="306"/>
      <c r="E817" s="307"/>
      <c r="F817" s="306"/>
      <c r="G817" s="306"/>
      <c r="H817" s="306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05"/>
      <c r="B818" s="306"/>
      <c r="C818" s="306"/>
      <c r="D818" s="306"/>
      <c r="E818" s="307"/>
      <c r="F818" s="306"/>
      <c r="G818" s="306"/>
      <c r="H818" s="306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05"/>
      <c r="B819" s="306"/>
      <c r="C819" s="306"/>
      <c r="D819" s="306"/>
      <c r="E819" s="307"/>
      <c r="F819" s="306"/>
      <c r="G819" s="306"/>
      <c r="H819" s="306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05"/>
      <c r="B820" s="306"/>
      <c r="C820" s="306"/>
      <c r="D820" s="306"/>
      <c r="E820" s="307"/>
      <c r="F820" s="306"/>
      <c r="G820" s="306"/>
      <c r="H820" s="306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05"/>
      <c r="B821" s="306"/>
      <c r="C821" s="306"/>
      <c r="D821" s="306"/>
      <c r="E821" s="307"/>
      <c r="F821" s="306"/>
      <c r="G821" s="306"/>
      <c r="H821" s="306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05"/>
      <c r="B822" s="306"/>
      <c r="C822" s="306"/>
      <c r="D822" s="306"/>
      <c r="E822" s="307"/>
      <c r="F822" s="306"/>
      <c r="G822" s="306"/>
      <c r="H822" s="306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05"/>
      <c r="B823" s="306"/>
      <c r="C823" s="306"/>
      <c r="D823" s="306"/>
      <c r="E823" s="307"/>
      <c r="F823" s="306"/>
      <c r="G823" s="306"/>
      <c r="H823" s="306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05"/>
      <c r="B824" s="306"/>
      <c r="C824" s="306"/>
      <c r="D824" s="306"/>
      <c r="E824" s="307"/>
      <c r="F824" s="306"/>
      <c r="G824" s="306"/>
      <c r="H824" s="306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05"/>
      <c r="B825" s="306"/>
      <c r="C825" s="306"/>
      <c r="D825" s="306"/>
      <c r="E825" s="307"/>
      <c r="F825" s="306"/>
      <c r="G825" s="306"/>
      <c r="H825" s="306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05"/>
      <c r="B826" s="306"/>
      <c r="C826" s="306"/>
      <c r="D826" s="306"/>
      <c r="E826" s="307"/>
      <c r="F826" s="306"/>
      <c r="G826" s="306"/>
      <c r="H826" s="306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05"/>
      <c r="B827" s="306"/>
      <c r="C827" s="306"/>
      <c r="D827" s="306"/>
      <c r="E827" s="307"/>
      <c r="F827" s="306"/>
      <c r="G827" s="306"/>
      <c r="H827" s="306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05"/>
      <c r="B828" s="306"/>
      <c r="C828" s="306"/>
      <c r="D828" s="306"/>
      <c r="E828" s="307"/>
      <c r="F828" s="306"/>
      <c r="G828" s="306"/>
      <c r="H828" s="306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05"/>
      <c r="B829" s="306"/>
      <c r="C829" s="306"/>
      <c r="D829" s="306"/>
      <c r="E829" s="307"/>
      <c r="F829" s="306"/>
      <c r="G829" s="306"/>
      <c r="H829" s="306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05"/>
      <c r="B830" s="306"/>
      <c r="C830" s="306"/>
      <c r="D830" s="306"/>
      <c r="E830" s="307"/>
      <c r="F830" s="306"/>
      <c r="G830" s="306"/>
      <c r="H830" s="306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05"/>
      <c r="B831" s="306"/>
      <c r="C831" s="306"/>
      <c r="D831" s="306"/>
      <c r="E831" s="307"/>
      <c r="F831" s="306"/>
      <c r="G831" s="306"/>
      <c r="H831" s="306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05"/>
      <c r="B832" s="306"/>
      <c r="C832" s="306"/>
      <c r="D832" s="306"/>
      <c r="E832" s="307"/>
      <c r="F832" s="306"/>
      <c r="G832" s="306"/>
      <c r="H832" s="306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05"/>
      <c r="B833" s="306"/>
      <c r="C833" s="306"/>
      <c r="D833" s="306"/>
      <c r="E833" s="307"/>
      <c r="F833" s="306"/>
      <c r="G833" s="306"/>
      <c r="H833" s="306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05"/>
      <c r="B834" s="306"/>
      <c r="C834" s="306"/>
      <c r="D834" s="306"/>
      <c r="E834" s="307"/>
      <c r="F834" s="306"/>
      <c r="G834" s="306"/>
      <c r="H834" s="306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05"/>
      <c r="B835" s="306"/>
      <c r="C835" s="306"/>
      <c r="D835" s="306"/>
      <c r="E835" s="307"/>
      <c r="F835" s="306"/>
      <c r="G835" s="306"/>
      <c r="H835" s="306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05"/>
      <c r="B836" s="306"/>
      <c r="C836" s="306"/>
      <c r="D836" s="306"/>
      <c r="E836" s="307"/>
      <c r="F836" s="306"/>
      <c r="G836" s="306"/>
      <c r="H836" s="306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05"/>
      <c r="B837" s="306"/>
      <c r="C837" s="306"/>
      <c r="D837" s="306"/>
      <c r="E837" s="307"/>
      <c r="F837" s="306"/>
      <c r="G837" s="306"/>
      <c r="H837" s="306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05"/>
      <c r="B838" s="306"/>
      <c r="C838" s="306"/>
      <c r="D838" s="306"/>
      <c r="E838" s="307"/>
      <c r="F838" s="306"/>
      <c r="G838" s="306"/>
      <c r="H838" s="306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05"/>
      <c r="B839" s="306"/>
      <c r="C839" s="306"/>
      <c r="D839" s="306"/>
      <c r="E839" s="307"/>
      <c r="F839" s="306"/>
      <c r="G839" s="306"/>
      <c r="H839" s="306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05"/>
      <c r="B840" s="306"/>
      <c r="C840" s="306"/>
      <c r="D840" s="306"/>
      <c r="E840" s="307"/>
      <c r="F840" s="306"/>
      <c r="G840" s="306"/>
      <c r="H840" s="306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05"/>
      <c r="B841" s="306"/>
      <c r="C841" s="306"/>
      <c r="D841" s="306"/>
      <c r="E841" s="307"/>
      <c r="F841" s="306"/>
      <c r="G841" s="306"/>
      <c r="H841" s="306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05"/>
      <c r="B842" s="306"/>
      <c r="C842" s="306"/>
      <c r="D842" s="306"/>
      <c r="E842" s="307"/>
      <c r="F842" s="306"/>
      <c r="G842" s="306"/>
      <c r="H842" s="306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05"/>
      <c r="B843" s="306"/>
      <c r="C843" s="306"/>
      <c r="D843" s="306"/>
      <c r="E843" s="307"/>
      <c r="F843" s="306"/>
      <c r="G843" s="306"/>
      <c r="H843" s="306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05"/>
      <c r="B844" s="306"/>
      <c r="C844" s="306"/>
      <c r="D844" s="306"/>
      <c r="E844" s="307"/>
      <c r="F844" s="306"/>
      <c r="G844" s="306"/>
      <c r="H844" s="306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05"/>
      <c r="B845" s="306"/>
      <c r="C845" s="306"/>
      <c r="D845" s="306"/>
      <c r="E845" s="307"/>
      <c r="F845" s="306"/>
      <c r="G845" s="306"/>
      <c r="H845" s="306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05"/>
      <c r="B846" s="306"/>
      <c r="C846" s="306"/>
      <c r="D846" s="306"/>
      <c r="E846" s="307"/>
      <c r="F846" s="306"/>
      <c r="G846" s="306"/>
      <c r="H846" s="306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05"/>
      <c r="B847" s="306"/>
      <c r="C847" s="306"/>
      <c r="D847" s="306"/>
      <c r="E847" s="307"/>
      <c r="F847" s="306"/>
      <c r="G847" s="306"/>
      <c r="H847" s="306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05"/>
      <c r="B848" s="306"/>
      <c r="C848" s="306"/>
      <c r="D848" s="306"/>
      <c r="E848" s="307"/>
      <c r="F848" s="306"/>
      <c r="G848" s="306"/>
      <c r="H848" s="306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05"/>
      <c r="B849" s="306"/>
      <c r="C849" s="306"/>
      <c r="D849" s="306"/>
      <c r="E849" s="307"/>
      <c r="F849" s="306"/>
      <c r="G849" s="306"/>
      <c r="H849" s="306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05"/>
      <c r="B850" s="306"/>
      <c r="C850" s="306"/>
      <c r="D850" s="306"/>
      <c r="E850" s="307"/>
      <c r="F850" s="306"/>
      <c r="G850" s="306"/>
      <c r="H850" s="306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05"/>
      <c r="B851" s="306"/>
      <c r="C851" s="306"/>
      <c r="D851" s="306"/>
      <c r="E851" s="307"/>
      <c r="F851" s="306"/>
      <c r="G851" s="306"/>
      <c r="H851" s="306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05"/>
      <c r="B852" s="306"/>
      <c r="C852" s="306"/>
      <c r="D852" s="306"/>
      <c r="E852" s="307"/>
      <c r="F852" s="306"/>
      <c r="G852" s="306"/>
      <c r="H852" s="306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05"/>
      <c r="B853" s="306"/>
      <c r="C853" s="306"/>
      <c r="D853" s="306"/>
      <c r="E853" s="307"/>
      <c r="F853" s="306"/>
      <c r="G853" s="306"/>
      <c r="H853" s="306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05"/>
      <c r="B854" s="306"/>
      <c r="C854" s="306"/>
      <c r="D854" s="306"/>
      <c r="E854" s="307"/>
      <c r="F854" s="306"/>
      <c r="G854" s="306"/>
      <c r="H854" s="306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05"/>
      <c r="B855" s="306"/>
      <c r="C855" s="306"/>
      <c r="D855" s="306"/>
      <c r="E855" s="307"/>
      <c r="F855" s="306"/>
      <c r="G855" s="306"/>
      <c r="H855" s="306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05"/>
      <c r="B856" s="306"/>
      <c r="C856" s="306"/>
      <c r="D856" s="306"/>
      <c r="E856" s="307"/>
      <c r="F856" s="306"/>
      <c r="G856" s="306"/>
      <c r="H856" s="306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05"/>
      <c r="B857" s="306"/>
      <c r="C857" s="306"/>
      <c r="D857" s="306"/>
      <c r="E857" s="307"/>
      <c r="F857" s="306"/>
      <c r="G857" s="306"/>
      <c r="H857" s="306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05"/>
      <c r="B858" s="306"/>
      <c r="C858" s="306"/>
      <c r="D858" s="306"/>
      <c r="E858" s="307"/>
      <c r="F858" s="306"/>
      <c r="G858" s="306"/>
      <c r="H858" s="306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05"/>
      <c r="B859" s="306"/>
      <c r="C859" s="306"/>
      <c r="D859" s="306"/>
      <c r="E859" s="307"/>
      <c r="F859" s="306"/>
      <c r="G859" s="306"/>
      <c r="H859" s="306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05"/>
      <c r="B860" s="306"/>
      <c r="C860" s="306"/>
      <c r="D860" s="306"/>
      <c r="E860" s="307"/>
      <c r="F860" s="306"/>
      <c r="G860" s="306"/>
      <c r="H860" s="306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05"/>
      <c r="B861" s="306"/>
      <c r="C861" s="306"/>
      <c r="D861" s="306"/>
      <c r="E861" s="307"/>
      <c r="F861" s="306"/>
      <c r="G861" s="306"/>
      <c r="H861" s="306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05"/>
      <c r="B862" s="306"/>
      <c r="C862" s="306"/>
      <c r="D862" s="306"/>
      <c r="E862" s="307"/>
      <c r="F862" s="306"/>
      <c r="G862" s="306"/>
      <c r="H862" s="306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05"/>
      <c r="B863" s="306"/>
      <c r="C863" s="306"/>
      <c r="D863" s="306"/>
      <c r="E863" s="307"/>
      <c r="F863" s="306"/>
      <c r="G863" s="306"/>
      <c r="H863" s="306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05"/>
      <c r="B864" s="306"/>
      <c r="C864" s="306"/>
      <c r="D864" s="306"/>
      <c r="E864" s="307"/>
      <c r="F864" s="306"/>
      <c r="G864" s="306"/>
      <c r="H864" s="306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05"/>
      <c r="B865" s="306"/>
      <c r="C865" s="306"/>
      <c r="D865" s="306"/>
      <c r="E865" s="307"/>
      <c r="F865" s="306"/>
      <c r="G865" s="306"/>
      <c r="H865" s="306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05"/>
      <c r="B866" s="306"/>
      <c r="C866" s="306"/>
      <c r="D866" s="306"/>
      <c r="E866" s="307"/>
      <c r="F866" s="306"/>
      <c r="G866" s="306"/>
      <c r="H866" s="306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05"/>
      <c r="B867" s="306"/>
      <c r="C867" s="306"/>
      <c r="D867" s="306"/>
      <c r="E867" s="307"/>
      <c r="F867" s="306"/>
      <c r="G867" s="306"/>
      <c r="H867" s="306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05"/>
      <c r="B868" s="306"/>
      <c r="C868" s="306"/>
      <c r="D868" s="306"/>
      <c r="E868" s="307"/>
      <c r="F868" s="306"/>
      <c r="G868" s="306"/>
      <c r="H868" s="306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05"/>
      <c r="B869" s="306"/>
      <c r="C869" s="306"/>
      <c r="D869" s="306"/>
      <c r="E869" s="307"/>
      <c r="F869" s="306"/>
      <c r="G869" s="306"/>
      <c r="H869" s="306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05"/>
      <c r="B870" s="306"/>
      <c r="C870" s="306"/>
      <c r="D870" s="306"/>
      <c r="E870" s="307"/>
      <c r="F870" s="306"/>
      <c r="G870" s="306"/>
      <c r="H870" s="306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05"/>
      <c r="B871" s="306"/>
      <c r="C871" s="306"/>
      <c r="D871" s="306"/>
      <c r="E871" s="307"/>
      <c r="F871" s="306"/>
      <c r="G871" s="306"/>
      <c r="H871" s="306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05"/>
      <c r="B872" s="306"/>
      <c r="C872" s="306"/>
      <c r="D872" s="306"/>
      <c r="E872" s="307"/>
      <c r="F872" s="306"/>
      <c r="G872" s="306"/>
      <c r="H872" s="306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05"/>
      <c r="B873" s="306"/>
      <c r="C873" s="306"/>
      <c r="D873" s="306"/>
      <c r="E873" s="307"/>
      <c r="F873" s="306"/>
      <c r="G873" s="306"/>
      <c r="H873" s="306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05"/>
      <c r="B874" s="306"/>
      <c r="C874" s="306"/>
      <c r="D874" s="306"/>
      <c r="E874" s="307"/>
      <c r="F874" s="306"/>
      <c r="G874" s="306"/>
      <c r="H874" s="306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05"/>
      <c r="B875" s="306"/>
      <c r="C875" s="306"/>
      <c r="D875" s="306"/>
      <c r="E875" s="307"/>
      <c r="F875" s="306"/>
      <c r="G875" s="306"/>
      <c r="H875" s="306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05"/>
      <c r="B876" s="306"/>
      <c r="C876" s="306"/>
      <c r="D876" s="306"/>
      <c r="E876" s="307"/>
      <c r="F876" s="306"/>
      <c r="G876" s="306"/>
      <c r="H876" s="306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05"/>
      <c r="B877" s="306"/>
      <c r="C877" s="306"/>
      <c r="D877" s="306"/>
      <c r="E877" s="307"/>
      <c r="F877" s="306"/>
      <c r="G877" s="306"/>
      <c r="H877" s="306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05"/>
      <c r="B878" s="306"/>
      <c r="C878" s="306"/>
      <c r="D878" s="306"/>
      <c r="E878" s="307"/>
      <c r="F878" s="306"/>
      <c r="G878" s="306"/>
      <c r="H878" s="306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05"/>
      <c r="B879" s="306"/>
      <c r="C879" s="306"/>
      <c r="D879" s="306"/>
      <c r="E879" s="307"/>
      <c r="F879" s="306"/>
      <c r="G879" s="306"/>
      <c r="H879" s="306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05"/>
      <c r="B880" s="306"/>
      <c r="C880" s="306"/>
      <c r="D880" s="306"/>
      <c r="E880" s="307"/>
      <c r="F880" s="306"/>
      <c r="G880" s="306"/>
      <c r="H880" s="306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05"/>
      <c r="B881" s="306"/>
      <c r="C881" s="306"/>
      <c r="D881" s="306"/>
      <c r="E881" s="307"/>
      <c r="F881" s="306"/>
      <c r="G881" s="306"/>
      <c r="H881" s="306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05"/>
      <c r="B882" s="306"/>
      <c r="C882" s="306"/>
      <c r="D882" s="306"/>
      <c r="E882" s="307"/>
      <c r="F882" s="306"/>
      <c r="G882" s="306"/>
      <c r="H882" s="306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05"/>
      <c r="B883" s="306"/>
      <c r="C883" s="306"/>
      <c r="D883" s="306"/>
      <c r="E883" s="307"/>
      <c r="F883" s="306"/>
      <c r="G883" s="306"/>
      <c r="H883" s="306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05"/>
      <c r="B884" s="306"/>
      <c r="C884" s="306"/>
      <c r="D884" s="306"/>
      <c r="E884" s="307"/>
      <c r="F884" s="306"/>
      <c r="G884" s="306"/>
      <c r="H884" s="306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05"/>
      <c r="B885" s="306"/>
      <c r="C885" s="306"/>
      <c r="D885" s="306"/>
      <c r="E885" s="307"/>
      <c r="F885" s="306"/>
      <c r="G885" s="306"/>
      <c r="H885" s="306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05"/>
      <c r="B886" s="306"/>
      <c r="C886" s="306"/>
      <c r="D886" s="306"/>
      <c r="E886" s="307"/>
      <c r="F886" s="306"/>
      <c r="G886" s="306"/>
      <c r="H886" s="306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05"/>
      <c r="B887" s="306"/>
      <c r="C887" s="306"/>
      <c r="D887" s="306"/>
      <c r="E887" s="307"/>
      <c r="F887" s="306"/>
      <c r="G887" s="306"/>
      <c r="H887" s="306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05"/>
      <c r="B888" s="306"/>
      <c r="C888" s="306"/>
      <c r="D888" s="306"/>
      <c r="E888" s="307"/>
      <c r="F888" s="306"/>
      <c r="G888" s="306"/>
      <c r="H888" s="306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05"/>
      <c r="B889" s="306"/>
      <c r="C889" s="306"/>
      <c r="D889" s="306"/>
      <c r="E889" s="307"/>
      <c r="F889" s="306"/>
      <c r="G889" s="306"/>
      <c r="H889" s="306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05"/>
      <c r="B890" s="306"/>
      <c r="C890" s="306"/>
      <c r="D890" s="306"/>
      <c r="E890" s="307"/>
      <c r="F890" s="306"/>
      <c r="G890" s="306"/>
      <c r="H890" s="306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05"/>
      <c r="B891" s="306"/>
      <c r="C891" s="306"/>
      <c r="D891" s="306"/>
      <c r="E891" s="307"/>
      <c r="F891" s="306"/>
      <c r="G891" s="306"/>
      <c r="H891" s="306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05"/>
      <c r="B892" s="306"/>
      <c r="C892" s="306"/>
      <c r="D892" s="306"/>
      <c r="E892" s="307"/>
      <c r="F892" s="306"/>
      <c r="G892" s="306"/>
      <c r="H892" s="306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05"/>
      <c r="B893" s="306"/>
      <c r="C893" s="306"/>
      <c r="D893" s="306"/>
      <c r="E893" s="307"/>
      <c r="F893" s="306"/>
      <c r="G893" s="306"/>
      <c r="H893" s="306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05"/>
      <c r="B894" s="306"/>
      <c r="C894" s="306"/>
      <c r="D894" s="306"/>
      <c r="E894" s="307"/>
      <c r="F894" s="306"/>
      <c r="G894" s="306"/>
      <c r="H894" s="306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05"/>
      <c r="B895" s="306"/>
      <c r="C895" s="306"/>
      <c r="D895" s="306"/>
      <c r="E895" s="307"/>
      <c r="F895" s="306"/>
      <c r="G895" s="306"/>
      <c r="H895" s="306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05"/>
      <c r="B896" s="306"/>
      <c r="C896" s="306"/>
      <c r="D896" s="306"/>
      <c r="E896" s="307"/>
      <c r="F896" s="306"/>
      <c r="G896" s="306"/>
      <c r="H896" s="306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05"/>
      <c r="B897" s="306"/>
      <c r="C897" s="306"/>
      <c r="D897" s="306"/>
      <c r="E897" s="307"/>
      <c r="F897" s="306"/>
      <c r="G897" s="306"/>
      <c r="H897" s="306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05"/>
      <c r="B898" s="306"/>
      <c r="C898" s="306"/>
      <c r="D898" s="306"/>
      <c r="E898" s="307"/>
      <c r="F898" s="306"/>
      <c r="G898" s="306"/>
      <c r="H898" s="306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05"/>
      <c r="B899" s="306"/>
      <c r="C899" s="306"/>
      <c r="D899" s="306"/>
      <c r="E899" s="307"/>
      <c r="F899" s="306"/>
      <c r="G899" s="306"/>
      <c r="H899" s="306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05"/>
      <c r="B900" s="306"/>
      <c r="C900" s="306"/>
      <c r="D900" s="306"/>
      <c r="E900" s="307"/>
      <c r="F900" s="306"/>
      <c r="G900" s="306"/>
      <c r="H900" s="306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05"/>
      <c r="B901" s="306"/>
      <c r="C901" s="306"/>
      <c r="D901" s="306"/>
      <c r="E901" s="307"/>
      <c r="F901" s="306"/>
      <c r="G901" s="306"/>
      <c r="H901" s="306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05"/>
      <c r="B902" s="306"/>
      <c r="C902" s="306"/>
      <c r="D902" s="306"/>
      <c r="E902" s="307"/>
      <c r="F902" s="306"/>
      <c r="G902" s="306"/>
      <c r="H902" s="306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05"/>
      <c r="B903" s="306"/>
      <c r="C903" s="306"/>
      <c r="D903" s="306"/>
      <c r="E903" s="307"/>
      <c r="F903" s="306"/>
      <c r="G903" s="306"/>
      <c r="H903" s="306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05"/>
      <c r="B904" s="306"/>
      <c r="C904" s="306"/>
      <c r="D904" s="306"/>
      <c r="E904" s="307"/>
      <c r="F904" s="306"/>
      <c r="G904" s="306"/>
      <c r="H904" s="306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05"/>
      <c r="B905" s="306"/>
      <c r="C905" s="306"/>
      <c r="D905" s="306"/>
      <c r="E905" s="307"/>
      <c r="F905" s="306"/>
      <c r="G905" s="306"/>
      <c r="H905" s="306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05"/>
      <c r="B906" s="306"/>
      <c r="C906" s="306"/>
      <c r="D906" s="306"/>
      <c r="E906" s="307"/>
      <c r="F906" s="306"/>
      <c r="G906" s="306"/>
      <c r="H906" s="306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05"/>
      <c r="B907" s="306"/>
      <c r="C907" s="306"/>
      <c r="D907" s="306"/>
      <c r="E907" s="307"/>
      <c r="F907" s="306"/>
      <c r="G907" s="306"/>
      <c r="H907" s="306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05"/>
      <c r="B908" s="306"/>
      <c r="C908" s="306"/>
      <c r="D908" s="306"/>
      <c r="E908" s="307"/>
      <c r="F908" s="306"/>
      <c r="G908" s="306"/>
      <c r="H908" s="306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05"/>
      <c r="B909" s="306"/>
      <c r="C909" s="306"/>
      <c r="D909" s="306"/>
      <c r="E909" s="307"/>
      <c r="F909" s="306"/>
      <c r="G909" s="306"/>
      <c r="H909" s="306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05"/>
      <c r="B910" s="306"/>
      <c r="C910" s="306"/>
      <c r="D910" s="306"/>
      <c r="E910" s="307"/>
      <c r="F910" s="306"/>
      <c r="G910" s="306"/>
      <c r="H910" s="306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05"/>
      <c r="B911" s="306"/>
      <c r="C911" s="306"/>
      <c r="D911" s="306"/>
      <c r="E911" s="307"/>
      <c r="F911" s="306"/>
      <c r="G911" s="306"/>
      <c r="H911" s="306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05"/>
      <c r="B912" s="306"/>
      <c r="C912" s="306"/>
      <c r="D912" s="306"/>
      <c r="E912" s="307"/>
      <c r="F912" s="306"/>
      <c r="G912" s="306"/>
      <c r="H912" s="306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05"/>
      <c r="B913" s="306"/>
      <c r="C913" s="306"/>
      <c r="D913" s="306"/>
      <c r="E913" s="307"/>
      <c r="F913" s="306"/>
      <c r="G913" s="306"/>
      <c r="H913" s="306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05"/>
      <c r="B914" s="306"/>
      <c r="C914" s="306"/>
      <c r="D914" s="306"/>
      <c r="E914" s="307"/>
      <c r="F914" s="306"/>
      <c r="G914" s="306"/>
      <c r="H914" s="306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05"/>
      <c r="B915" s="306"/>
      <c r="C915" s="306"/>
      <c r="D915" s="306"/>
      <c r="E915" s="307"/>
      <c r="F915" s="306"/>
      <c r="G915" s="306"/>
      <c r="H915" s="306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05"/>
      <c r="B916" s="306"/>
      <c r="C916" s="306"/>
      <c r="D916" s="306"/>
      <c r="E916" s="307"/>
      <c r="F916" s="306"/>
      <c r="G916" s="306"/>
      <c r="H916" s="306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05"/>
      <c r="B917" s="306"/>
      <c r="C917" s="306"/>
      <c r="D917" s="306"/>
      <c r="E917" s="307"/>
      <c r="F917" s="306"/>
      <c r="G917" s="306"/>
      <c r="H917" s="306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05"/>
      <c r="B918" s="306"/>
      <c r="C918" s="306"/>
      <c r="D918" s="306"/>
      <c r="E918" s="307"/>
      <c r="F918" s="306"/>
      <c r="G918" s="306"/>
      <c r="H918" s="306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05"/>
      <c r="B919" s="306"/>
      <c r="C919" s="306"/>
      <c r="D919" s="306"/>
      <c r="E919" s="307"/>
      <c r="F919" s="306"/>
      <c r="G919" s="306"/>
      <c r="H919" s="306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05"/>
      <c r="B920" s="306"/>
      <c r="C920" s="306"/>
      <c r="D920" s="306"/>
      <c r="E920" s="307"/>
      <c r="F920" s="306"/>
      <c r="G920" s="306"/>
      <c r="H920" s="306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05"/>
      <c r="B921" s="306"/>
      <c r="C921" s="306"/>
      <c r="D921" s="306"/>
      <c r="E921" s="307"/>
      <c r="F921" s="306"/>
      <c r="G921" s="306"/>
      <c r="H921" s="306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05"/>
      <c r="B922" s="306"/>
      <c r="C922" s="306"/>
      <c r="D922" s="306"/>
      <c r="E922" s="307"/>
      <c r="F922" s="306"/>
      <c r="G922" s="306"/>
      <c r="H922" s="306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05"/>
      <c r="B923" s="306"/>
      <c r="C923" s="306"/>
      <c r="D923" s="306"/>
      <c r="E923" s="307"/>
      <c r="F923" s="306"/>
      <c r="G923" s="306"/>
      <c r="H923" s="306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05"/>
      <c r="B924" s="306"/>
      <c r="C924" s="306"/>
      <c r="D924" s="306"/>
      <c r="E924" s="307"/>
      <c r="F924" s="306"/>
      <c r="G924" s="306"/>
      <c r="H924" s="306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05"/>
      <c r="B925" s="306"/>
      <c r="C925" s="306"/>
      <c r="D925" s="306"/>
      <c r="E925" s="307"/>
      <c r="F925" s="306"/>
      <c r="G925" s="306"/>
      <c r="H925" s="306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05"/>
      <c r="B926" s="306"/>
      <c r="C926" s="306"/>
      <c r="D926" s="306"/>
      <c r="E926" s="307"/>
      <c r="F926" s="306"/>
      <c r="G926" s="306"/>
      <c r="H926" s="306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05"/>
      <c r="B927" s="306"/>
      <c r="C927" s="306"/>
      <c r="D927" s="306"/>
      <c r="E927" s="307"/>
      <c r="F927" s="306"/>
      <c r="G927" s="306"/>
      <c r="H927" s="306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05"/>
      <c r="B928" s="306"/>
      <c r="C928" s="306"/>
      <c r="D928" s="306"/>
      <c r="E928" s="307"/>
      <c r="F928" s="306"/>
      <c r="G928" s="306"/>
      <c r="H928" s="306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05"/>
      <c r="B929" s="306"/>
      <c r="C929" s="306"/>
      <c r="D929" s="306"/>
      <c r="E929" s="307"/>
      <c r="F929" s="306"/>
      <c r="G929" s="306"/>
      <c r="H929" s="306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05"/>
      <c r="B930" s="306"/>
      <c r="C930" s="306"/>
      <c r="D930" s="306"/>
      <c r="E930" s="307"/>
      <c r="F930" s="306"/>
      <c r="G930" s="306"/>
      <c r="H930" s="306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05"/>
      <c r="B931" s="306"/>
      <c r="C931" s="306"/>
      <c r="D931" s="306"/>
      <c r="E931" s="307"/>
      <c r="F931" s="306"/>
      <c r="G931" s="306"/>
      <c r="H931" s="306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05"/>
      <c r="B932" s="306"/>
      <c r="C932" s="306"/>
      <c r="D932" s="306"/>
      <c r="E932" s="307"/>
      <c r="F932" s="306"/>
      <c r="G932" s="306"/>
      <c r="H932" s="306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05"/>
      <c r="B933" s="306"/>
      <c r="C933" s="306"/>
      <c r="D933" s="306"/>
      <c r="E933" s="307"/>
      <c r="F933" s="306"/>
      <c r="G933" s="306"/>
      <c r="H933" s="306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05"/>
      <c r="B934" s="306"/>
      <c r="C934" s="306"/>
      <c r="D934" s="306"/>
      <c r="E934" s="307"/>
      <c r="F934" s="306"/>
      <c r="G934" s="306"/>
      <c r="H934" s="306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05"/>
      <c r="B935" s="306"/>
      <c r="C935" s="306"/>
      <c r="D935" s="306"/>
      <c r="E935" s="307"/>
      <c r="F935" s="306"/>
      <c r="G935" s="306"/>
      <c r="H935" s="306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05"/>
      <c r="B936" s="306"/>
      <c r="C936" s="306"/>
      <c r="D936" s="306"/>
      <c r="E936" s="307"/>
      <c r="F936" s="306"/>
      <c r="G936" s="306"/>
      <c r="H936" s="306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05"/>
      <c r="B937" s="306"/>
      <c r="C937" s="306"/>
      <c r="D937" s="306"/>
      <c r="E937" s="307"/>
      <c r="F937" s="306"/>
      <c r="G937" s="306"/>
      <c r="H937" s="306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05"/>
      <c r="B938" s="306"/>
      <c r="C938" s="306"/>
      <c r="D938" s="306"/>
      <c r="E938" s="307"/>
      <c r="F938" s="306"/>
      <c r="G938" s="306"/>
      <c r="H938" s="306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05"/>
      <c r="B939" s="306"/>
      <c r="C939" s="306"/>
      <c r="D939" s="306"/>
      <c r="E939" s="307"/>
      <c r="F939" s="306"/>
      <c r="G939" s="306"/>
      <c r="H939" s="306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05"/>
      <c r="B940" s="306"/>
      <c r="C940" s="306"/>
      <c r="D940" s="306"/>
      <c r="E940" s="307"/>
      <c r="F940" s="306"/>
      <c r="G940" s="306"/>
      <c r="H940" s="306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05"/>
      <c r="B941" s="306"/>
      <c r="C941" s="306"/>
      <c r="D941" s="306"/>
      <c r="E941" s="307"/>
      <c r="F941" s="306"/>
      <c r="G941" s="306"/>
      <c r="H941" s="306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05"/>
      <c r="B942" s="306"/>
      <c r="C942" s="306"/>
      <c r="D942" s="306"/>
      <c r="E942" s="307"/>
      <c r="F942" s="306"/>
      <c r="G942" s="306"/>
      <c r="H942" s="306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05"/>
      <c r="B943" s="306"/>
      <c r="C943" s="306"/>
      <c r="D943" s="306"/>
      <c r="E943" s="307"/>
      <c r="F943" s="306"/>
      <c r="G943" s="306"/>
      <c r="H943" s="306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05"/>
      <c r="B944" s="306"/>
      <c r="C944" s="306"/>
      <c r="D944" s="306"/>
      <c r="E944" s="307"/>
      <c r="F944" s="306"/>
      <c r="G944" s="306"/>
      <c r="H944" s="306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05"/>
      <c r="B945" s="306"/>
      <c r="C945" s="306"/>
      <c r="D945" s="306"/>
      <c r="E945" s="307"/>
      <c r="F945" s="306"/>
      <c r="G945" s="306"/>
      <c r="H945" s="306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05"/>
      <c r="B946" s="306"/>
      <c r="C946" s="306"/>
      <c r="D946" s="306"/>
      <c r="E946" s="307"/>
      <c r="F946" s="306"/>
      <c r="G946" s="306"/>
      <c r="H946" s="306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05"/>
      <c r="B947" s="306"/>
      <c r="C947" s="306"/>
      <c r="D947" s="306"/>
      <c r="E947" s="307"/>
      <c r="F947" s="306"/>
      <c r="G947" s="306"/>
      <c r="H947" s="306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05"/>
      <c r="B948" s="306"/>
      <c r="C948" s="306"/>
      <c r="D948" s="306"/>
      <c r="E948" s="307"/>
      <c r="F948" s="306"/>
      <c r="G948" s="306"/>
      <c r="H948" s="306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05"/>
      <c r="B949" s="306"/>
      <c r="C949" s="306"/>
      <c r="D949" s="306"/>
      <c r="E949" s="307"/>
      <c r="F949" s="306"/>
      <c r="G949" s="306"/>
      <c r="H949" s="306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05"/>
      <c r="B950" s="306"/>
      <c r="C950" s="306"/>
      <c r="D950" s="306"/>
      <c r="E950" s="307"/>
      <c r="F950" s="306"/>
      <c r="G950" s="306"/>
      <c r="H950" s="306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05"/>
      <c r="B951" s="306"/>
      <c r="C951" s="306"/>
      <c r="D951" s="306"/>
      <c r="E951" s="307"/>
      <c r="F951" s="306"/>
      <c r="G951" s="306"/>
      <c r="H951" s="306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05"/>
      <c r="B952" s="306"/>
      <c r="C952" s="306"/>
      <c r="D952" s="306"/>
      <c r="E952" s="307"/>
      <c r="F952" s="306"/>
      <c r="G952" s="306"/>
      <c r="H952" s="306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05"/>
      <c r="B953" s="306"/>
      <c r="C953" s="306"/>
      <c r="D953" s="306"/>
      <c r="E953" s="307"/>
      <c r="F953" s="306"/>
      <c r="G953" s="306"/>
      <c r="H953" s="306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05"/>
      <c r="B954" s="306"/>
      <c r="C954" s="306"/>
      <c r="D954" s="306"/>
      <c r="E954" s="307"/>
      <c r="F954" s="306"/>
      <c r="G954" s="306"/>
      <c r="H954" s="306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05"/>
      <c r="B955" s="306"/>
      <c r="C955" s="306"/>
      <c r="D955" s="306"/>
      <c r="E955" s="307"/>
      <c r="F955" s="306"/>
      <c r="G955" s="306"/>
      <c r="H955" s="306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05"/>
      <c r="B956" s="306"/>
      <c r="C956" s="306"/>
      <c r="D956" s="306"/>
      <c r="E956" s="307"/>
      <c r="F956" s="306"/>
      <c r="G956" s="306"/>
      <c r="H956" s="306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05"/>
      <c r="B957" s="306"/>
      <c r="C957" s="306"/>
      <c r="D957" s="306"/>
      <c r="E957" s="307"/>
      <c r="F957" s="306"/>
      <c r="G957" s="306"/>
      <c r="H957" s="306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05"/>
      <c r="B958" s="306"/>
      <c r="C958" s="306"/>
      <c r="D958" s="306"/>
      <c r="E958" s="307"/>
      <c r="F958" s="306"/>
      <c r="G958" s="306"/>
      <c r="H958" s="306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05"/>
      <c r="B959" s="306"/>
      <c r="C959" s="306"/>
      <c r="D959" s="306"/>
      <c r="E959" s="307"/>
      <c r="F959" s="306"/>
      <c r="G959" s="306"/>
      <c r="H959" s="306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05"/>
      <c r="B960" s="306"/>
      <c r="C960" s="306"/>
      <c r="D960" s="306"/>
      <c r="E960" s="307"/>
      <c r="F960" s="306"/>
      <c r="G960" s="306"/>
      <c r="H960" s="306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05"/>
      <c r="B961" s="306"/>
      <c r="C961" s="306"/>
      <c r="D961" s="306"/>
      <c r="E961" s="307"/>
      <c r="F961" s="306"/>
      <c r="G961" s="306"/>
      <c r="H961" s="306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05"/>
      <c r="B962" s="306"/>
      <c r="C962" s="306"/>
      <c r="D962" s="306"/>
      <c r="E962" s="307"/>
      <c r="F962" s="306"/>
      <c r="G962" s="306"/>
      <c r="H962" s="306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05"/>
      <c r="B963" s="306"/>
      <c r="C963" s="306"/>
      <c r="D963" s="306"/>
      <c r="E963" s="307"/>
      <c r="F963" s="306"/>
      <c r="G963" s="306"/>
      <c r="H963" s="306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05"/>
      <c r="B964" s="306"/>
      <c r="C964" s="306"/>
      <c r="D964" s="306"/>
      <c r="E964" s="307"/>
      <c r="F964" s="306"/>
      <c r="G964" s="306"/>
      <c r="H964" s="306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05"/>
      <c r="B965" s="306"/>
      <c r="C965" s="306"/>
      <c r="D965" s="306"/>
      <c r="E965" s="307"/>
      <c r="F965" s="306"/>
      <c r="G965" s="306"/>
      <c r="H965" s="306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05"/>
      <c r="B966" s="306"/>
      <c r="C966" s="306"/>
      <c r="D966" s="306"/>
      <c r="E966" s="307"/>
      <c r="F966" s="306"/>
      <c r="G966" s="306"/>
      <c r="H966" s="306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05"/>
      <c r="B967" s="306"/>
      <c r="C967" s="306"/>
      <c r="D967" s="306"/>
      <c r="E967" s="307"/>
      <c r="F967" s="306"/>
      <c r="G967" s="306"/>
      <c r="H967" s="306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05"/>
      <c r="B968" s="306"/>
      <c r="C968" s="306"/>
      <c r="D968" s="306"/>
      <c r="E968" s="307"/>
      <c r="F968" s="306"/>
      <c r="G968" s="306"/>
      <c r="H968" s="306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05"/>
      <c r="B969" s="306"/>
      <c r="C969" s="306"/>
      <c r="D969" s="306"/>
      <c r="E969" s="307"/>
      <c r="F969" s="306"/>
      <c r="G969" s="306"/>
      <c r="H969" s="306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05"/>
      <c r="B970" s="306"/>
      <c r="C970" s="306"/>
      <c r="D970" s="306"/>
      <c r="E970" s="307"/>
      <c r="F970" s="306"/>
      <c r="G970" s="306"/>
      <c r="H970" s="306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05"/>
      <c r="B971" s="306"/>
      <c r="C971" s="306"/>
      <c r="D971" s="306"/>
      <c r="E971" s="307"/>
      <c r="F971" s="306"/>
      <c r="G971" s="306"/>
      <c r="H971" s="306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05"/>
      <c r="B972" s="306"/>
      <c r="C972" s="306"/>
      <c r="D972" s="306"/>
      <c r="E972" s="307"/>
      <c r="F972" s="306"/>
      <c r="G972" s="306"/>
      <c r="H972" s="306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05"/>
      <c r="B973" s="306"/>
      <c r="C973" s="306"/>
      <c r="D973" s="306"/>
      <c r="E973" s="307"/>
      <c r="F973" s="306"/>
      <c r="G973" s="306"/>
      <c r="H973" s="306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05"/>
      <c r="B974" s="306"/>
      <c r="C974" s="306"/>
      <c r="D974" s="306"/>
      <c r="E974" s="307"/>
      <c r="F974" s="306"/>
      <c r="G974" s="306"/>
      <c r="H974" s="306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05"/>
      <c r="B975" s="306"/>
      <c r="C975" s="306"/>
      <c r="D975" s="306"/>
      <c r="E975" s="307"/>
      <c r="F975" s="306"/>
      <c r="G975" s="306"/>
      <c r="H975" s="306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05"/>
      <c r="B976" s="306"/>
      <c r="C976" s="306"/>
      <c r="D976" s="306"/>
      <c r="E976" s="307"/>
      <c r="F976" s="306"/>
      <c r="G976" s="306"/>
      <c r="H976" s="306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05"/>
      <c r="B977" s="306"/>
      <c r="C977" s="306"/>
      <c r="D977" s="306"/>
      <c r="E977" s="307"/>
      <c r="F977" s="306"/>
      <c r="G977" s="306"/>
      <c r="H977" s="306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05"/>
      <c r="B978" s="306"/>
      <c r="C978" s="306"/>
      <c r="D978" s="306"/>
      <c r="E978" s="307"/>
      <c r="F978" s="306"/>
      <c r="G978" s="306"/>
      <c r="H978" s="306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05"/>
      <c r="B979" s="306"/>
      <c r="C979" s="306"/>
      <c r="D979" s="306"/>
      <c r="E979" s="307"/>
      <c r="F979" s="306"/>
      <c r="G979" s="306"/>
      <c r="H979" s="306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05"/>
      <c r="B980" s="306"/>
      <c r="C980" s="306"/>
      <c r="D980" s="306"/>
      <c r="E980" s="307"/>
      <c r="F980" s="306"/>
      <c r="G980" s="306"/>
      <c r="H980" s="306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05"/>
      <c r="B981" s="306"/>
      <c r="C981" s="306"/>
      <c r="D981" s="306"/>
      <c r="E981" s="307"/>
      <c r="F981" s="306"/>
      <c r="G981" s="306"/>
      <c r="H981" s="306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05"/>
      <c r="B982" s="306"/>
      <c r="C982" s="306"/>
      <c r="D982" s="306"/>
      <c r="E982" s="307"/>
      <c r="F982" s="306"/>
      <c r="G982" s="306"/>
      <c r="H982" s="306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05"/>
      <c r="B983" s="306"/>
      <c r="C983" s="306"/>
      <c r="D983" s="306"/>
      <c r="E983" s="307"/>
      <c r="F983" s="306"/>
      <c r="G983" s="306"/>
      <c r="H983" s="306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05"/>
      <c r="B984" s="306"/>
      <c r="C984" s="306"/>
      <c r="D984" s="306"/>
      <c r="E984" s="307"/>
      <c r="F984" s="306"/>
      <c r="G984" s="306"/>
      <c r="H984" s="306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05"/>
      <c r="B985" s="306"/>
      <c r="C985" s="306"/>
      <c r="D985" s="306"/>
      <c r="E985" s="307"/>
      <c r="F985" s="306"/>
      <c r="G985" s="306"/>
      <c r="H985" s="306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05"/>
      <c r="B986" s="306"/>
      <c r="C986" s="306"/>
      <c r="D986" s="306"/>
      <c r="E986" s="307"/>
      <c r="F986" s="306"/>
      <c r="G986" s="306"/>
      <c r="H986" s="306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05"/>
      <c r="B987" s="306"/>
      <c r="C987" s="306"/>
      <c r="D987" s="306"/>
      <c r="E987" s="307"/>
      <c r="F987" s="306"/>
      <c r="G987" s="306"/>
      <c r="H987" s="306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05"/>
      <c r="B988" s="306"/>
      <c r="C988" s="306"/>
      <c r="D988" s="306"/>
      <c r="E988" s="307"/>
      <c r="F988" s="306"/>
      <c r="G988" s="306"/>
      <c r="H988" s="306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05"/>
      <c r="B989" s="306"/>
      <c r="C989" s="306"/>
      <c r="D989" s="306"/>
      <c r="E989" s="307"/>
      <c r="F989" s="306"/>
      <c r="G989" s="306"/>
      <c r="H989" s="306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05"/>
      <c r="B990" s="306"/>
      <c r="C990" s="306"/>
      <c r="D990" s="306"/>
      <c r="E990" s="307"/>
      <c r="F990" s="306"/>
      <c r="G990" s="306"/>
      <c r="H990" s="306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05"/>
      <c r="B991" s="306"/>
      <c r="C991" s="306"/>
      <c r="D991" s="306"/>
      <c r="E991" s="307"/>
      <c r="F991" s="306"/>
      <c r="G991" s="306"/>
      <c r="H991" s="306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05"/>
      <c r="B992" s="306"/>
      <c r="C992" s="306"/>
      <c r="D992" s="306"/>
      <c r="E992" s="307"/>
      <c r="F992" s="306"/>
      <c r="G992" s="306"/>
      <c r="H992" s="306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05"/>
      <c r="B993" s="306"/>
      <c r="C993" s="306"/>
      <c r="D993" s="306"/>
      <c r="E993" s="307"/>
      <c r="F993" s="306"/>
      <c r="G993" s="306"/>
      <c r="H993" s="306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05"/>
      <c r="B994" s="306"/>
      <c r="C994" s="306"/>
      <c r="D994" s="306"/>
      <c r="E994" s="307"/>
      <c r="F994" s="306"/>
      <c r="G994" s="306"/>
      <c r="H994" s="306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05"/>
      <c r="B995" s="306"/>
      <c r="C995" s="306"/>
      <c r="D995" s="306"/>
      <c r="E995" s="307"/>
      <c r="F995" s="306"/>
      <c r="G995" s="306"/>
      <c r="H995" s="306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05"/>
      <c r="B996" s="306"/>
      <c r="C996" s="306"/>
      <c r="D996" s="306"/>
      <c r="E996" s="307"/>
      <c r="F996" s="306"/>
      <c r="G996" s="306"/>
      <c r="H996" s="306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05"/>
      <c r="B997" s="306"/>
      <c r="C997" s="306"/>
      <c r="D997" s="306"/>
      <c r="E997" s="307"/>
      <c r="F997" s="306"/>
      <c r="G997" s="306"/>
      <c r="H997" s="306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05"/>
      <c r="B998" s="306"/>
      <c r="C998" s="306"/>
      <c r="D998" s="306"/>
      <c r="E998" s="307"/>
      <c r="F998" s="306"/>
      <c r="G998" s="306"/>
      <c r="H998" s="306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05"/>
      <c r="B999" s="306"/>
      <c r="C999" s="306"/>
      <c r="D999" s="306"/>
      <c r="E999" s="307"/>
      <c r="F999" s="306"/>
      <c r="G999" s="306"/>
      <c r="H999" s="306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05"/>
      <c r="B1000" s="306"/>
      <c r="C1000" s="306"/>
      <c r="D1000" s="306"/>
      <c r="E1000" s="307"/>
      <c r="F1000" s="306"/>
      <c r="G1000" s="306"/>
      <c r="H1000" s="306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05"/>
      <c r="B1001" s="306"/>
      <c r="C1001" s="306"/>
      <c r="D1001" s="306"/>
      <c r="E1001" s="307"/>
      <c r="F1001" s="306"/>
      <c r="G1001" s="306"/>
      <c r="H1001" s="306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4FF3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8" width="3.88"/>
    <col customWidth="1" min="9" max="9" width="1.5"/>
    <col customWidth="1" min="10" max="16" width="3.88"/>
    <col customWidth="1" min="17" max="17" width="1.0"/>
    <col customWidth="1" min="18" max="25" width="3.88"/>
    <col customWidth="1" min="26" max="26" width="6.88"/>
    <col customWidth="1" min="27" max="27" width="10.13"/>
    <col customWidth="1" min="28" max="28" width="14.13"/>
    <col customWidth="1" min="29" max="32" width="3.88"/>
  </cols>
  <sheetData>
    <row r="1">
      <c r="A1" s="183"/>
      <c r="B1" s="318"/>
      <c r="C1" s="319"/>
      <c r="D1" s="23"/>
      <c r="E1" s="319"/>
      <c r="F1" s="60"/>
      <c r="G1" s="60"/>
      <c r="H1" s="23"/>
      <c r="I1" s="319"/>
      <c r="J1" s="60"/>
      <c r="K1" s="60"/>
      <c r="L1" s="60"/>
      <c r="M1" s="23"/>
      <c r="N1" s="319"/>
      <c r="O1" s="60"/>
      <c r="P1" s="60"/>
      <c r="Q1" s="23"/>
      <c r="R1" s="319"/>
      <c r="S1" s="60"/>
      <c r="T1" s="23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</row>
    <row r="2">
      <c r="A2" s="321"/>
      <c r="B2" s="322" t="s">
        <v>307</v>
      </c>
      <c r="C2" s="60"/>
      <c r="D2" s="60"/>
      <c r="E2" s="60"/>
      <c r="F2" s="60"/>
      <c r="G2" s="60"/>
      <c r="H2" s="23"/>
      <c r="I2" s="323"/>
      <c r="J2" s="322" t="s">
        <v>5</v>
      </c>
      <c r="K2" s="60"/>
      <c r="L2" s="60"/>
      <c r="M2" s="60"/>
      <c r="N2" s="60"/>
      <c r="O2" s="60"/>
      <c r="P2" s="23"/>
      <c r="Q2" s="323"/>
      <c r="R2" s="322" t="s">
        <v>6</v>
      </c>
      <c r="S2" s="60"/>
      <c r="T2" s="60"/>
      <c r="U2" s="60"/>
      <c r="V2" s="60"/>
      <c r="W2" s="60"/>
      <c r="X2" s="23"/>
      <c r="Y2" s="324"/>
      <c r="Z2" s="324"/>
      <c r="AA2" s="324"/>
      <c r="AB2" s="324"/>
      <c r="AC2" s="324"/>
      <c r="AD2" s="324"/>
      <c r="AE2" s="324"/>
      <c r="AF2" s="324"/>
    </row>
    <row r="3">
      <c r="A3" s="325"/>
      <c r="B3" s="326" t="s">
        <v>846</v>
      </c>
      <c r="C3" s="327" t="s">
        <v>847</v>
      </c>
      <c r="D3" s="327" t="s">
        <v>848</v>
      </c>
      <c r="E3" s="327" t="s">
        <v>849</v>
      </c>
      <c r="F3" s="327" t="s">
        <v>849</v>
      </c>
      <c r="G3" s="327" t="s">
        <v>847</v>
      </c>
      <c r="H3" s="326" t="s">
        <v>847</v>
      </c>
      <c r="I3" s="328"/>
      <c r="J3" s="326" t="s">
        <v>846</v>
      </c>
      <c r="K3" s="327" t="s">
        <v>847</v>
      </c>
      <c r="L3" s="327" t="s">
        <v>848</v>
      </c>
      <c r="M3" s="327" t="s">
        <v>849</v>
      </c>
      <c r="N3" s="327" t="s">
        <v>849</v>
      </c>
      <c r="O3" s="327" t="s">
        <v>847</v>
      </c>
      <c r="P3" s="326" t="s">
        <v>847</v>
      </c>
      <c r="Q3" s="328"/>
      <c r="R3" s="326" t="s">
        <v>846</v>
      </c>
      <c r="S3" s="327" t="s">
        <v>847</v>
      </c>
      <c r="T3" s="327" t="s">
        <v>848</v>
      </c>
      <c r="U3" s="327" t="s">
        <v>849</v>
      </c>
      <c r="V3" s="327" t="s">
        <v>849</v>
      </c>
      <c r="W3" s="327" t="s">
        <v>847</v>
      </c>
      <c r="X3" s="326" t="s">
        <v>847</v>
      </c>
      <c r="Y3" s="326"/>
      <c r="Z3" s="326"/>
      <c r="AA3" s="326"/>
      <c r="AB3" s="326"/>
      <c r="AC3" s="326"/>
      <c r="AD3" s="326"/>
      <c r="AE3" s="326"/>
      <c r="AF3" s="326"/>
    </row>
    <row r="4">
      <c r="A4" s="329"/>
      <c r="B4" s="330"/>
      <c r="C4" s="327">
        <v>2.0</v>
      </c>
      <c r="D4" s="327">
        <f t="shared" ref="D4:H4" si="1">C4+1</f>
        <v>3</v>
      </c>
      <c r="E4" s="327">
        <f t="shared" si="1"/>
        <v>4</v>
      </c>
      <c r="F4" s="327">
        <f t="shared" si="1"/>
        <v>5</v>
      </c>
      <c r="G4" s="327">
        <f t="shared" si="1"/>
        <v>6</v>
      </c>
      <c r="H4" s="326">
        <f t="shared" si="1"/>
        <v>7</v>
      </c>
      <c r="I4" s="328"/>
      <c r="J4" s="326">
        <v>5.0</v>
      </c>
      <c r="K4" s="331">
        <v>6.0</v>
      </c>
      <c r="L4" s="331">
        <f t="shared" ref="L4:P4" si="2">K4+1</f>
        <v>7</v>
      </c>
      <c r="M4" s="331">
        <f t="shared" si="2"/>
        <v>8</v>
      </c>
      <c r="N4" s="331">
        <f t="shared" si="2"/>
        <v>9</v>
      </c>
      <c r="O4" s="331">
        <f t="shared" si="2"/>
        <v>10</v>
      </c>
      <c r="P4" s="326">
        <f t="shared" si="2"/>
        <v>11</v>
      </c>
      <c r="Q4" s="328"/>
      <c r="R4" s="326">
        <v>3.0</v>
      </c>
      <c r="S4" s="332">
        <f t="shared" ref="S4:X4" si="3">R4+1</f>
        <v>4</v>
      </c>
      <c r="T4" s="332">
        <f t="shared" si="3"/>
        <v>5</v>
      </c>
      <c r="U4" s="332">
        <f t="shared" si="3"/>
        <v>6</v>
      </c>
      <c r="V4" s="332">
        <f t="shared" si="3"/>
        <v>7</v>
      </c>
      <c r="W4" s="332">
        <f t="shared" si="3"/>
        <v>8</v>
      </c>
      <c r="X4" s="326">
        <f t="shared" si="3"/>
        <v>9</v>
      </c>
      <c r="Y4" s="326"/>
      <c r="Z4" s="326"/>
      <c r="AA4" s="326"/>
      <c r="AB4" s="326"/>
      <c r="AC4" s="326"/>
      <c r="AD4" s="326"/>
      <c r="AE4" s="326"/>
      <c r="AF4" s="326"/>
    </row>
    <row r="5">
      <c r="A5" s="325"/>
      <c r="B5" s="326">
        <f t="shared" ref="B5:B8" si="7">H4+1</f>
        <v>8</v>
      </c>
      <c r="C5" s="327">
        <f t="shared" ref="C5:H5" si="4">B5+1</f>
        <v>9</v>
      </c>
      <c r="D5" s="327">
        <f t="shared" si="4"/>
        <v>10</v>
      </c>
      <c r="E5" s="327">
        <f t="shared" si="4"/>
        <v>11</v>
      </c>
      <c r="F5" s="327">
        <f t="shared" si="4"/>
        <v>12</v>
      </c>
      <c r="G5" s="327">
        <f t="shared" si="4"/>
        <v>13</v>
      </c>
      <c r="H5" s="326">
        <f t="shared" si="4"/>
        <v>14</v>
      </c>
      <c r="I5" s="328"/>
      <c r="J5" s="326">
        <f t="shared" ref="J5:J7" si="9">P4+1</f>
        <v>12</v>
      </c>
      <c r="K5" s="331">
        <f t="shared" ref="K5:P5" si="5">J5+1</f>
        <v>13</v>
      </c>
      <c r="L5" s="331">
        <f t="shared" si="5"/>
        <v>14</v>
      </c>
      <c r="M5" s="331">
        <f t="shared" si="5"/>
        <v>15</v>
      </c>
      <c r="N5" s="331">
        <f t="shared" si="5"/>
        <v>16</v>
      </c>
      <c r="O5" s="331">
        <f t="shared" si="5"/>
        <v>17</v>
      </c>
      <c r="P5" s="326">
        <f t="shared" si="5"/>
        <v>18</v>
      </c>
      <c r="Q5" s="328"/>
      <c r="R5" s="326">
        <f t="shared" ref="R5:R8" si="11">X4+1</f>
        <v>10</v>
      </c>
      <c r="S5" s="332">
        <f t="shared" ref="S5:X5" si="6">R5+1</f>
        <v>11</v>
      </c>
      <c r="T5" s="332">
        <f t="shared" si="6"/>
        <v>12</v>
      </c>
      <c r="U5" s="332">
        <f t="shared" si="6"/>
        <v>13</v>
      </c>
      <c r="V5" s="332">
        <f t="shared" si="6"/>
        <v>14</v>
      </c>
      <c r="W5" s="332">
        <f t="shared" si="6"/>
        <v>15</v>
      </c>
      <c r="X5" s="326">
        <f t="shared" si="6"/>
        <v>16</v>
      </c>
      <c r="Y5" s="326"/>
      <c r="Z5" s="326"/>
      <c r="AA5" s="326"/>
      <c r="AB5" s="326"/>
      <c r="AC5" s="326"/>
      <c r="AD5" s="326"/>
      <c r="AE5" s="326"/>
      <c r="AF5" s="326"/>
    </row>
    <row r="6">
      <c r="A6" s="325"/>
      <c r="B6" s="326">
        <f t="shared" si="7"/>
        <v>15</v>
      </c>
      <c r="C6" s="333">
        <f t="shared" ref="C6:H6" si="8">B6+1</f>
        <v>16</v>
      </c>
      <c r="D6" s="333">
        <f t="shared" si="8"/>
        <v>17</v>
      </c>
      <c r="E6" s="333">
        <f t="shared" si="8"/>
        <v>18</v>
      </c>
      <c r="F6" s="333">
        <f t="shared" si="8"/>
        <v>19</v>
      </c>
      <c r="G6" s="333">
        <f t="shared" si="8"/>
        <v>20</v>
      </c>
      <c r="H6" s="326">
        <f t="shared" si="8"/>
        <v>21</v>
      </c>
      <c r="I6" s="328"/>
      <c r="J6" s="326">
        <f t="shared" si="9"/>
        <v>19</v>
      </c>
      <c r="K6" s="334">
        <f t="shared" ref="K6:P6" si="10">J6+1</f>
        <v>20</v>
      </c>
      <c r="L6" s="334">
        <f t="shared" si="10"/>
        <v>21</v>
      </c>
      <c r="M6" s="335">
        <f t="shared" si="10"/>
        <v>22</v>
      </c>
      <c r="N6" s="336">
        <f t="shared" si="10"/>
        <v>23</v>
      </c>
      <c r="O6" s="332">
        <f t="shared" si="10"/>
        <v>24</v>
      </c>
      <c r="P6" s="326">
        <f t="shared" si="10"/>
        <v>25</v>
      </c>
      <c r="Q6" s="328"/>
      <c r="R6" s="326">
        <f t="shared" si="11"/>
        <v>17</v>
      </c>
      <c r="S6" s="327">
        <f t="shared" ref="S6:X6" si="12">R6+1</f>
        <v>18</v>
      </c>
      <c r="T6" s="327">
        <f t="shared" si="12"/>
        <v>19</v>
      </c>
      <c r="U6" s="337">
        <f t="shared" si="12"/>
        <v>20</v>
      </c>
      <c r="V6" s="338">
        <f t="shared" si="12"/>
        <v>21</v>
      </c>
      <c r="W6" s="338">
        <f t="shared" si="12"/>
        <v>22</v>
      </c>
      <c r="X6" s="326">
        <f t="shared" si="12"/>
        <v>23</v>
      </c>
      <c r="Y6" s="326"/>
      <c r="Z6" s="326"/>
      <c r="AA6" s="326"/>
      <c r="AB6" s="326"/>
      <c r="AC6" s="326"/>
      <c r="AD6" s="326"/>
      <c r="AE6" s="326"/>
      <c r="AF6" s="326"/>
    </row>
    <row r="7">
      <c r="A7" s="339"/>
      <c r="B7" s="326">
        <f t="shared" si="7"/>
        <v>22</v>
      </c>
      <c r="C7" s="327">
        <f t="shared" ref="C7:H7" si="13">B7+1</f>
        <v>23</v>
      </c>
      <c r="D7" s="327">
        <f t="shared" si="13"/>
        <v>24</v>
      </c>
      <c r="E7" s="331">
        <f t="shared" si="13"/>
        <v>25</v>
      </c>
      <c r="F7" s="331">
        <f t="shared" si="13"/>
        <v>26</v>
      </c>
      <c r="G7" s="331">
        <f t="shared" si="13"/>
        <v>27</v>
      </c>
      <c r="H7" s="326">
        <f t="shared" si="13"/>
        <v>28</v>
      </c>
      <c r="I7" s="328"/>
      <c r="J7" s="326">
        <f t="shared" si="9"/>
        <v>26</v>
      </c>
      <c r="K7" s="332">
        <f t="shared" ref="K7:N7" si="14">J7+1</f>
        <v>27</v>
      </c>
      <c r="L7" s="332">
        <f t="shared" si="14"/>
        <v>28</v>
      </c>
      <c r="M7" s="332">
        <f t="shared" si="14"/>
        <v>29</v>
      </c>
      <c r="N7" s="332">
        <f t="shared" si="14"/>
        <v>30</v>
      </c>
      <c r="O7" s="332">
        <v>1.0</v>
      </c>
      <c r="P7" s="326">
        <v>2.0</v>
      </c>
      <c r="Q7" s="328"/>
      <c r="R7" s="326">
        <f t="shared" si="11"/>
        <v>24</v>
      </c>
      <c r="S7" s="338">
        <f t="shared" ref="S7:X7" si="15">R7+1</f>
        <v>25</v>
      </c>
      <c r="T7" s="338">
        <f t="shared" si="15"/>
        <v>26</v>
      </c>
      <c r="U7" s="338">
        <f t="shared" si="15"/>
        <v>27</v>
      </c>
      <c r="V7" s="338">
        <f t="shared" si="15"/>
        <v>28</v>
      </c>
      <c r="W7" s="338">
        <f t="shared" si="15"/>
        <v>29</v>
      </c>
      <c r="X7" s="326">
        <f t="shared" si="15"/>
        <v>30</v>
      </c>
      <c r="Y7" s="326"/>
      <c r="Z7" s="326"/>
      <c r="AA7" s="326"/>
      <c r="AB7" s="326"/>
      <c r="AC7" s="326"/>
      <c r="AD7" s="326"/>
      <c r="AE7" s="326"/>
      <c r="AF7" s="326"/>
    </row>
    <row r="8">
      <c r="A8" s="339"/>
      <c r="B8" s="326">
        <f t="shared" si="7"/>
        <v>29</v>
      </c>
      <c r="C8" s="331">
        <f t="shared" ref="C8:D8" si="16">B8+1</f>
        <v>30</v>
      </c>
      <c r="D8" s="331">
        <f t="shared" si="16"/>
        <v>31</v>
      </c>
      <c r="E8" s="331">
        <v>1.0</v>
      </c>
      <c r="F8" s="331">
        <f t="shared" ref="F8:H8" si="17">E8+1</f>
        <v>2</v>
      </c>
      <c r="G8" s="331">
        <f t="shared" si="17"/>
        <v>3</v>
      </c>
      <c r="H8" s="326">
        <f t="shared" si="17"/>
        <v>4</v>
      </c>
      <c r="I8" s="328"/>
      <c r="J8" s="326"/>
      <c r="K8" s="327"/>
      <c r="L8" s="327"/>
      <c r="M8" s="327"/>
      <c r="N8" s="327"/>
      <c r="O8" s="327"/>
      <c r="P8" s="327"/>
      <c r="Q8" s="328"/>
      <c r="R8" s="326">
        <f t="shared" si="11"/>
        <v>31</v>
      </c>
      <c r="S8" s="327"/>
      <c r="T8" s="327"/>
      <c r="U8" s="327"/>
      <c r="V8" s="327"/>
      <c r="W8" s="327"/>
      <c r="X8" s="327"/>
      <c r="Y8" s="327"/>
      <c r="Z8" s="327"/>
      <c r="AA8" s="327"/>
      <c r="AB8" s="327"/>
      <c r="AC8" s="327"/>
      <c r="AD8" s="327"/>
      <c r="AE8" s="327"/>
      <c r="AF8" s="327"/>
    </row>
    <row r="9">
      <c r="A9" s="340"/>
      <c r="B9" s="314"/>
      <c r="C9" s="314"/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41"/>
      <c r="Z9" s="314"/>
      <c r="AA9" s="342">
        <v>46113.0</v>
      </c>
      <c r="AB9" s="342">
        <v>46120.0</v>
      </c>
      <c r="AC9" s="314"/>
      <c r="AD9" s="314"/>
      <c r="AE9" s="314"/>
      <c r="AF9" s="314"/>
    </row>
    <row r="10">
      <c r="A10" s="340"/>
      <c r="B10" s="312"/>
      <c r="C10" s="314"/>
      <c r="D10" s="314"/>
      <c r="E10" s="314"/>
      <c r="F10" s="314"/>
      <c r="G10" s="314"/>
      <c r="H10" s="314"/>
      <c r="I10" s="314"/>
      <c r="J10" s="314"/>
      <c r="K10" s="314"/>
      <c r="L10" s="343"/>
      <c r="M10" s="344" t="s">
        <v>850</v>
      </c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23"/>
      <c r="Y10" s="183"/>
      <c r="Z10" s="345" t="s">
        <v>748</v>
      </c>
      <c r="AA10" s="346" t="s">
        <v>851</v>
      </c>
      <c r="AB10" s="346" t="s">
        <v>852</v>
      </c>
      <c r="AC10" s="346"/>
      <c r="AD10" s="346"/>
      <c r="AE10" s="346"/>
      <c r="AF10" s="346"/>
    </row>
    <row r="11">
      <c r="A11" s="340"/>
      <c r="B11" s="322" t="s">
        <v>7</v>
      </c>
      <c r="C11" s="60"/>
      <c r="D11" s="60"/>
      <c r="E11" s="60"/>
      <c r="F11" s="60"/>
      <c r="G11" s="60"/>
      <c r="H11" s="23"/>
      <c r="I11" s="314"/>
      <c r="J11" s="314"/>
      <c r="K11" s="314"/>
      <c r="L11" s="347"/>
      <c r="M11" s="344" t="s">
        <v>853</v>
      </c>
      <c r="N11" s="60"/>
      <c r="O11" s="60"/>
      <c r="P11" s="60"/>
      <c r="Q11" s="60"/>
      <c r="R11" s="60"/>
      <c r="S11" s="23"/>
      <c r="T11" s="314"/>
      <c r="U11" s="314"/>
      <c r="V11" s="314"/>
      <c r="W11" s="314"/>
      <c r="X11" s="348"/>
      <c r="Y11" s="183"/>
      <c r="Z11" s="349" t="s">
        <v>624</v>
      </c>
      <c r="AA11" s="350" t="s">
        <v>854</v>
      </c>
      <c r="AB11" s="350" t="s">
        <v>855</v>
      </c>
      <c r="AC11" s="314"/>
      <c r="AD11" s="314"/>
      <c r="AE11" s="314"/>
      <c r="AF11" s="314"/>
    </row>
    <row r="12">
      <c r="A12" s="340"/>
      <c r="B12" s="326" t="s">
        <v>846</v>
      </c>
      <c r="C12" s="327" t="s">
        <v>847</v>
      </c>
      <c r="D12" s="327" t="s">
        <v>848</v>
      </c>
      <c r="E12" s="327" t="s">
        <v>849</v>
      </c>
      <c r="F12" s="327" t="s">
        <v>849</v>
      </c>
      <c r="G12" s="327" t="s">
        <v>847</v>
      </c>
      <c r="H12" s="326" t="s">
        <v>847</v>
      </c>
      <c r="I12" s="314"/>
      <c r="J12" s="314"/>
      <c r="K12" s="314"/>
      <c r="L12" s="335"/>
      <c r="M12" s="344" t="s">
        <v>856</v>
      </c>
      <c r="N12" s="60"/>
      <c r="O12" s="60"/>
      <c r="P12" s="60"/>
      <c r="Q12" s="60"/>
      <c r="R12" s="60"/>
      <c r="S12" s="23"/>
      <c r="T12" s="314"/>
      <c r="U12" s="314"/>
      <c r="V12" s="314"/>
      <c r="W12" s="314"/>
      <c r="X12" s="348"/>
      <c r="Y12" s="314"/>
      <c r="Z12" s="351"/>
      <c r="AA12" s="350" t="s">
        <v>857</v>
      </c>
      <c r="AB12" s="350" t="s">
        <v>858</v>
      </c>
      <c r="AC12" s="314"/>
      <c r="AD12" s="314"/>
      <c r="AE12" s="314"/>
      <c r="AF12" s="314"/>
    </row>
    <row r="13">
      <c r="A13" s="340"/>
      <c r="B13" s="326"/>
      <c r="C13" s="352">
        <v>1.0</v>
      </c>
      <c r="D13" s="352">
        <f t="shared" ref="D13:H13" si="18">C13+1</f>
        <v>2</v>
      </c>
      <c r="E13" s="352">
        <f t="shared" si="18"/>
        <v>3</v>
      </c>
      <c r="F13" s="352">
        <f t="shared" si="18"/>
        <v>4</v>
      </c>
      <c r="G13" s="352">
        <f t="shared" si="18"/>
        <v>5</v>
      </c>
      <c r="H13" s="326">
        <f t="shared" si="18"/>
        <v>6</v>
      </c>
      <c r="I13" s="314"/>
      <c r="J13" s="314"/>
      <c r="K13" s="314"/>
      <c r="L13" s="353"/>
      <c r="M13" s="344" t="s">
        <v>859</v>
      </c>
      <c r="N13" s="60"/>
      <c r="O13" s="60"/>
      <c r="P13" s="60"/>
      <c r="Q13" s="60"/>
      <c r="R13" s="60"/>
      <c r="S13" s="23"/>
      <c r="T13" s="314"/>
      <c r="U13" s="314"/>
      <c r="V13" s="314"/>
      <c r="W13" s="314"/>
      <c r="X13" s="314"/>
      <c r="Y13" s="354"/>
      <c r="Z13" s="314"/>
      <c r="AA13" s="350" t="s">
        <v>860</v>
      </c>
      <c r="AB13" s="350" t="s">
        <v>861</v>
      </c>
      <c r="AC13" s="314"/>
      <c r="AD13" s="314"/>
      <c r="AE13" s="314"/>
      <c r="AF13" s="314"/>
    </row>
    <row r="14">
      <c r="A14" s="340"/>
      <c r="B14" s="326">
        <f t="shared" ref="B14:B17" si="20">H13+1</f>
        <v>7</v>
      </c>
      <c r="C14" s="352">
        <f t="shared" ref="C14:H14" si="19">B14+1</f>
        <v>8</v>
      </c>
      <c r="D14" s="352">
        <f t="shared" si="19"/>
        <v>9</v>
      </c>
      <c r="E14" s="352">
        <f t="shared" si="19"/>
        <v>10</v>
      </c>
      <c r="F14" s="352">
        <f t="shared" si="19"/>
        <v>11</v>
      </c>
      <c r="G14" s="352">
        <f t="shared" si="19"/>
        <v>12</v>
      </c>
      <c r="H14" s="326">
        <f t="shared" si="19"/>
        <v>13</v>
      </c>
      <c r="I14" s="314"/>
      <c r="J14" s="314"/>
      <c r="K14" s="314"/>
      <c r="L14" s="355"/>
      <c r="M14" s="344" t="s">
        <v>862</v>
      </c>
      <c r="N14" s="60"/>
      <c r="O14" s="60"/>
      <c r="P14" s="60"/>
      <c r="Q14" s="60"/>
      <c r="R14" s="60"/>
      <c r="S14" s="23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</row>
    <row r="15">
      <c r="A15" s="340"/>
      <c r="B15" s="326">
        <f t="shared" si="20"/>
        <v>14</v>
      </c>
      <c r="C15" s="352">
        <f t="shared" ref="C15:H15" si="21">B15+1</f>
        <v>15</v>
      </c>
      <c r="D15" s="352">
        <f t="shared" si="21"/>
        <v>16</v>
      </c>
      <c r="E15" s="352">
        <f t="shared" si="21"/>
        <v>17</v>
      </c>
      <c r="F15" s="352">
        <f t="shared" si="21"/>
        <v>18</v>
      </c>
      <c r="G15" s="352">
        <f t="shared" si="21"/>
        <v>19</v>
      </c>
      <c r="H15" s="326">
        <f t="shared" si="21"/>
        <v>20</v>
      </c>
      <c r="I15" s="314"/>
      <c r="J15" s="314"/>
      <c r="K15" s="314"/>
      <c r="L15" s="356"/>
      <c r="M15" s="344" t="s">
        <v>607</v>
      </c>
      <c r="N15" s="60"/>
      <c r="O15" s="60"/>
      <c r="P15" s="60"/>
      <c r="Q15" s="60"/>
      <c r="R15" s="60"/>
      <c r="S15" s="23"/>
      <c r="T15" s="346"/>
      <c r="U15" s="346"/>
      <c r="V15" s="346"/>
      <c r="W15" s="346"/>
      <c r="X15" s="346"/>
      <c r="Y15" s="346"/>
      <c r="Z15" s="346"/>
      <c r="AA15" s="346"/>
      <c r="AB15" s="346"/>
      <c r="AC15" s="346"/>
      <c r="AD15" s="346"/>
      <c r="AE15" s="346"/>
      <c r="AF15" s="346"/>
    </row>
    <row r="16">
      <c r="A16" s="340"/>
      <c r="B16" s="326">
        <f t="shared" si="20"/>
        <v>21</v>
      </c>
      <c r="C16" s="336">
        <f t="shared" ref="C16:H16" si="22">B16+1</f>
        <v>22</v>
      </c>
      <c r="D16" s="352">
        <f t="shared" si="22"/>
        <v>23</v>
      </c>
      <c r="E16" s="352">
        <f t="shared" si="22"/>
        <v>24</v>
      </c>
      <c r="F16" s="352">
        <f t="shared" si="22"/>
        <v>25</v>
      </c>
      <c r="G16" s="352">
        <f t="shared" si="22"/>
        <v>26</v>
      </c>
      <c r="H16" s="326">
        <f t="shared" si="22"/>
        <v>27</v>
      </c>
      <c r="I16" s="314"/>
      <c r="J16" s="314"/>
      <c r="K16" s="314"/>
      <c r="L16" s="352"/>
      <c r="M16" s="344" t="s">
        <v>862</v>
      </c>
      <c r="N16" s="60"/>
      <c r="O16" s="60"/>
      <c r="P16" s="60"/>
      <c r="Q16" s="60"/>
      <c r="R16" s="60"/>
      <c r="S16" s="23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</row>
    <row r="17">
      <c r="A17" s="340"/>
      <c r="B17" s="326">
        <f t="shared" si="20"/>
        <v>28</v>
      </c>
      <c r="C17" s="352">
        <f t="shared" ref="C17:D17" si="23">B17+1</f>
        <v>29</v>
      </c>
      <c r="D17" s="352">
        <f t="shared" si="23"/>
        <v>30</v>
      </c>
      <c r="E17" s="337">
        <v>1.0</v>
      </c>
      <c r="F17" s="357">
        <v>2.0</v>
      </c>
      <c r="G17" s="357">
        <v>3.0</v>
      </c>
      <c r="H17" s="326"/>
      <c r="I17" s="314"/>
      <c r="J17" s="314"/>
      <c r="K17" s="314"/>
      <c r="L17" s="358"/>
      <c r="M17" s="344" t="s">
        <v>863</v>
      </c>
      <c r="N17" s="60"/>
      <c r="O17" s="60"/>
      <c r="P17" s="60"/>
      <c r="Q17" s="60"/>
      <c r="R17" s="60"/>
      <c r="S17" s="23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</row>
    <row r="18">
      <c r="A18" s="340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60"/>
      <c r="M18" s="344" t="s">
        <v>864</v>
      </c>
      <c r="N18" s="60"/>
      <c r="O18" s="60"/>
      <c r="P18" s="60"/>
      <c r="Q18" s="60"/>
      <c r="R18" s="60"/>
      <c r="S18" s="23"/>
      <c r="T18" s="359"/>
      <c r="U18" s="359"/>
      <c r="V18" s="359"/>
      <c r="W18" s="359"/>
      <c r="X18" s="359"/>
      <c r="Y18" s="359"/>
      <c r="Z18" s="359"/>
      <c r="AA18" s="359"/>
      <c r="AB18" s="359"/>
      <c r="AC18" s="359"/>
      <c r="AD18" s="359"/>
      <c r="AE18" s="359"/>
      <c r="AF18" s="359"/>
    </row>
    <row r="19">
      <c r="A19" s="340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61"/>
      <c r="M19" s="344" t="s">
        <v>865</v>
      </c>
      <c r="N19" s="60"/>
      <c r="O19" s="60"/>
      <c r="P19" s="60"/>
      <c r="Q19" s="60"/>
      <c r="R19" s="60"/>
      <c r="S19" s="23"/>
      <c r="T19" s="359"/>
      <c r="U19" s="359"/>
      <c r="V19" s="359"/>
      <c r="W19" s="359"/>
      <c r="X19" s="359"/>
      <c r="Y19" s="359"/>
      <c r="Z19" s="359"/>
      <c r="AA19" s="359"/>
      <c r="AB19" s="359"/>
      <c r="AC19" s="359"/>
      <c r="AD19" s="359"/>
      <c r="AE19" s="359"/>
      <c r="AF19" s="359"/>
    </row>
    <row r="20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27"/>
      <c r="M20" s="362"/>
      <c r="N20" s="60"/>
      <c r="O20" s="60"/>
      <c r="P20" s="60"/>
      <c r="Q20" s="60"/>
      <c r="R20" s="60"/>
      <c r="S20" s="23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</row>
    <row r="21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27"/>
      <c r="M21" s="362"/>
      <c r="N21" s="60"/>
      <c r="O21" s="60"/>
      <c r="P21" s="60"/>
      <c r="Q21" s="60"/>
      <c r="R21" s="60"/>
      <c r="S21" s="23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</row>
    <row r="22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</row>
    <row r="23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</row>
    <row r="24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</row>
    <row r="25">
      <c r="A25" s="340"/>
      <c r="B25" s="322" t="s">
        <v>307</v>
      </c>
      <c r="C25" s="60"/>
      <c r="D25" s="60"/>
      <c r="E25" s="60"/>
      <c r="F25" s="60"/>
      <c r="G25" s="60"/>
      <c r="H25" s="23"/>
      <c r="I25" s="323"/>
      <c r="J25" s="322" t="s">
        <v>5</v>
      </c>
      <c r="K25" s="60"/>
      <c r="L25" s="60"/>
      <c r="M25" s="60"/>
      <c r="N25" s="60"/>
      <c r="O25" s="60"/>
      <c r="P25" s="23"/>
      <c r="Q25" s="323"/>
      <c r="R25" s="322" t="s">
        <v>6</v>
      </c>
      <c r="S25" s="60"/>
      <c r="T25" s="60"/>
      <c r="U25" s="60"/>
      <c r="V25" s="60"/>
      <c r="W25" s="60"/>
      <c r="X25" s="23"/>
      <c r="Y25" s="324"/>
      <c r="Z25" s="324"/>
      <c r="AA25" s="324"/>
      <c r="AB25" s="324"/>
      <c r="AC25" s="340"/>
      <c r="AD25" s="340"/>
      <c r="AE25" s="340"/>
      <c r="AF25" s="340"/>
    </row>
    <row r="26">
      <c r="A26" s="340"/>
      <c r="B26" s="326" t="s">
        <v>846</v>
      </c>
      <c r="C26" s="327" t="s">
        <v>847</v>
      </c>
      <c r="D26" s="327" t="s">
        <v>848</v>
      </c>
      <c r="E26" s="327" t="s">
        <v>849</v>
      </c>
      <c r="F26" s="327" t="s">
        <v>849</v>
      </c>
      <c r="G26" s="327" t="s">
        <v>847</v>
      </c>
      <c r="H26" s="326" t="s">
        <v>847</v>
      </c>
      <c r="I26" s="328"/>
      <c r="J26" s="326" t="s">
        <v>846</v>
      </c>
      <c r="K26" s="327" t="s">
        <v>847</v>
      </c>
      <c r="L26" s="327" t="s">
        <v>848</v>
      </c>
      <c r="M26" s="327" t="s">
        <v>849</v>
      </c>
      <c r="N26" s="327" t="s">
        <v>849</v>
      </c>
      <c r="O26" s="327" t="s">
        <v>847</v>
      </c>
      <c r="P26" s="326" t="s">
        <v>847</v>
      </c>
      <c r="Q26" s="328"/>
      <c r="R26" s="326" t="s">
        <v>846</v>
      </c>
      <c r="S26" s="327" t="s">
        <v>847</v>
      </c>
      <c r="T26" s="327" t="s">
        <v>848</v>
      </c>
      <c r="U26" s="327" t="s">
        <v>849</v>
      </c>
      <c r="V26" s="327" t="s">
        <v>849</v>
      </c>
      <c r="W26" s="327" t="s">
        <v>847</v>
      </c>
      <c r="X26" s="326" t="s">
        <v>847</v>
      </c>
      <c r="Y26" s="326"/>
      <c r="Z26" s="326"/>
      <c r="AA26" s="326"/>
      <c r="AB26" s="326"/>
      <c r="AC26" s="340"/>
      <c r="AD26" s="340"/>
      <c r="AE26" s="340"/>
      <c r="AF26" s="340"/>
    </row>
    <row r="27">
      <c r="A27" s="340"/>
      <c r="B27" s="330"/>
      <c r="C27" s="327">
        <v>2.0</v>
      </c>
      <c r="D27" s="327">
        <f t="shared" ref="D27:H27" si="24">C27+1</f>
        <v>3</v>
      </c>
      <c r="E27" s="327">
        <f t="shared" si="24"/>
        <v>4</v>
      </c>
      <c r="F27" s="327">
        <f t="shared" si="24"/>
        <v>5</v>
      </c>
      <c r="G27" s="327">
        <f t="shared" si="24"/>
        <v>6</v>
      </c>
      <c r="H27" s="326">
        <f t="shared" si="24"/>
        <v>7</v>
      </c>
      <c r="I27" s="328"/>
      <c r="J27" s="326">
        <v>5.0</v>
      </c>
      <c r="K27" s="331">
        <v>6.0</v>
      </c>
      <c r="L27" s="331">
        <f t="shared" ref="L27:P27" si="25">K27+1</f>
        <v>7</v>
      </c>
      <c r="M27" s="331">
        <f t="shared" si="25"/>
        <v>8</v>
      </c>
      <c r="N27" s="331">
        <f t="shared" si="25"/>
        <v>9</v>
      </c>
      <c r="O27" s="331">
        <f t="shared" si="25"/>
        <v>10</v>
      </c>
      <c r="P27" s="326">
        <f t="shared" si="25"/>
        <v>11</v>
      </c>
      <c r="Q27" s="328"/>
      <c r="R27" s="326">
        <v>3.0</v>
      </c>
      <c r="S27" s="332">
        <f t="shared" ref="S27:X27" si="26">R27+1</f>
        <v>4</v>
      </c>
      <c r="T27" s="332">
        <f t="shared" si="26"/>
        <v>5</v>
      </c>
      <c r="U27" s="332">
        <f t="shared" si="26"/>
        <v>6</v>
      </c>
      <c r="V27" s="332">
        <f t="shared" si="26"/>
        <v>7</v>
      </c>
      <c r="W27" s="332">
        <f t="shared" si="26"/>
        <v>8</v>
      </c>
      <c r="X27" s="326">
        <f t="shared" si="26"/>
        <v>9</v>
      </c>
      <c r="Y27" s="326"/>
      <c r="Z27" s="326"/>
      <c r="AA27" s="326"/>
      <c r="AB27" s="326"/>
      <c r="AC27" s="340"/>
      <c r="AD27" s="340"/>
      <c r="AE27" s="340"/>
      <c r="AF27" s="340"/>
    </row>
    <row r="28">
      <c r="A28" s="340"/>
      <c r="B28" s="326">
        <f t="shared" ref="B28:B31" si="30">H27+1</f>
        <v>8</v>
      </c>
      <c r="C28" s="327">
        <f t="shared" ref="C28:H28" si="27">B28+1</f>
        <v>9</v>
      </c>
      <c r="D28" s="327">
        <f t="shared" si="27"/>
        <v>10</v>
      </c>
      <c r="E28" s="327">
        <f t="shared" si="27"/>
        <v>11</v>
      </c>
      <c r="F28" s="327">
        <f t="shared" si="27"/>
        <v>12</v>
      </c>
      <c r="G28" s="327">
        <f t="shared" si="27"/>
        <v>13</v>
      </c>
      <c r="H28" s="326">
        <f t="shared" si="27"/>
        <v>14</v>
      </c>
      <c r="I28" s="328"/>
      <c r="J28" s="326">
        <f t="shared" ref="J28:J30" si="32">P27+1</f>
        <v>12</v>
      </c>
      <c r="K28" s="331">
        <f t="shared" ref="K28:P28" si="28">J28+1</f>
        <v>13</v>
      </c>
      <c r="L28" s="331">
        <f t="shared" si="28"/>
        <v>14</v>
      </c>
      <c r="M28" s="331">
        <f t="shared" si="28"/>
        <v>15</v>
      </c>
      <c r="N28" s="331">
        <f t="shared" si="28"/>
        <v>16</v>
      </c>
      <c r="O28" s="331">
        <f t="shared" si="28"/>
        <v>17</v>
      </c>
      <c r="P28" s="326">
        <f t="shared" si="28"/>
        <v>18</v>
      </c>
      <c r="Q28" s="328"/>
      <c r="R28" s="326">
        <f t="shared" ref="R28:R31" si="34">X27+1</f>
        <v>10</v>
      </c>
      <c r="S28" s="332">
        <f t="shared" ref="S28:X28" si="29">R28+1</f>
        <v>11</v>
      </c>
      <c r="T28" s="332">
        <f t="shared" si="29"/>
        <v>12</v>
      </c>
      <c r="U28" s="332">
        <f t="shared" si="29"/>
        <v>13</v>
      </c>
      <c r="V28" s="332">
        <f t="shared" si="29"/>
        <v>14</v>
      </c>
      <c r="W28" s="332">
        <f t="shared" si="29"/>
        <v>15</v>
      </c>
      <c r="X28" s="326">
        <f t="shared" si="29"/>
        <v>16</v>
      </c>
      <c r="Y28" s="326"/>
      <c r="Z28" s="326"/>
      <c r="AA28" s="326"/>
      <c r="AB28" s="326"/>
      <c r="AC28" s="340"/>
      <c r="AD28" s="340"/>
      <c r="AE28" s="340"/>
      <c r="AF28" s="340"/>
    </row>
    <row r="29">
      <c r="A29" s="340"/>
      <c r="B29" s="326">
        <f t="shared" si="30"/>
        <v>15</v>
      </c>
      <c r="C29" s="333">
        <f t="shared" ref="C29:H29" si="31">B29+1</f>
        <v>16</v>
      </c>
      <c r="D29" s="333">
        <f t="shared" si="31"/>
        <v>17</v>
      </c>
      <c r="E29" s="333">
        <f t="shared" si="31"/>
        <v>18</v>
      </c>
      <c r="F29" s="333">
        <f t="shared" si="31"/>
        <v>19</v>
      </c>
      <c r="G29" s="333">
        <f t="shared" si="31"/>
        <v>20</v>
      </c>
      <c r="H29" s="326">
        <f t="shared" si="31"/>
        <v>21</v>
      </c>
      <c r="I29" s="328"/>
      <c r="J29" s="326">
        <f t="shared" si="32"/>
        <v>19</v>
      </c>
      <c r="K29" s="334">
        <f t="shared" ref="K29:P29" si="33">J29+1</f>
        <v>20</v>
      </c>
      <c r="L29" s="334">
        <f t="shared" si="33"/>
        <v>21</v>
      </c>
      <c r="M29" s="335">
        <f t="shared" si="33"/>
        <v>22</v>
      </c>
      <c r="N29" s="336">
        <f t="shared" si="33"/>
        <v>23</v>
      </c>
      <c r="O29" s="332">
        <f t="shared" si="33"/>
        <v>24</v>
      </c>
      <c r="P29" s="326">
        <f t="shared" si="33"/>
        <v>25</v>
      </c>
      <c r="Q29" s="328"/>
      <c r="R29" s="326">
        <f t="shared" si="34"/>
        <v>17</v>
      </c>
      <c r="S29" s="327">
        <f t="shared" ref="S29:X29" si="35">R29+1</f>
        <v>18</v>
      </c>
      <c r="T29" s="327">
        <f t="shared" si="35"/>
        <v>19</v>
      </c>
      <c r="U29" s="337">
        <f t="shared" si="35"/>
        <v>20</v>
      </c>
      <c r="V29" s="338">
        <f t="shared" si="35"/>
        <v>21</v>
      </c>
      <c r="W29" s="338">
        <f t="shared" si="35"/>
        <v>22</v>
      </c>
      <c r="X29" s="326">
        <f t="shared" si="35"/>
        <v>23</v>
      </c>
      <c r="Y29" s="326"/>
      <c r="Z29" s="326"/>
      <c r="AA29" s="326"/>
      <c r="AB29" s="326"/>
      <c r="AC29" s="340"/>
      <c r="AD29" s="340"/>
      <c r="AE29" s="340"/>
      <c r="AF29" s="340"/>
    </row>
    <row r="30">
      <c r="A30" s="340"/>
      <c r="B30" s="326">
        <f t="shared" si="30"/>
        <v>22</v>
      </c>
      <c r="C30" s="333">
        <f t="shared" ref="C30:H30" si="36">B30+1</f>
        <v>23</v>
      </c>
      <c r="D30" s="333">
        <f t="shared" si="36"/>
        <v>24</v>
      </c>
      <c r="E30" s="333">
        <f t="shared" si="36"/>
        <v>25</v>
      </c>
      <c r="F30" s="333">
        <f t="shared" si="36"/>
        <v>26</v>
      </c>
      <c r="G30" s="333">
        <f t="shared" si="36"/>
        <v>27</v>
      </c>
      <c r="H30" s="326">
        <f t="shared" si="36"/>
        <v>28</v>
      </c>
      <c r="I30" s="328"/>
      <c r="J30" s="326">
        <f t="shared" si="32"/>
        <v>26</v>
      </c>
      <c r="K30" s="332">
        <f t="shared" ref="K30:N30" si="37">J30+1</f>
        <v>27</v>
      </c>
      <c r="L30" s="332">
        <f t="shared" si="37"/>
        <v>28</v>
      </c>
      <c r="M30" s="332">
        <f t="shared" si="37"/>
        <v>29</v>
      </c>
      <c r="N30" s="332">
        <f t="shared" si="37"/>
        <v>30</v>
      </c>
      <c r="O30" s="332">
        <v>1.0</v>
      </c>
      <c r="P30" s="326">
        <v>2.0</v>
      </c>
      <c r="Q30" s="328"/>
      <c r="R30" s="326">
        <f t="shared" si="34"/>
        <v>24</v>
      </c>
      <c r="S30" s="338">
        <f t="shared" ref="S30:X30" si="38">R30+1</f>
        <v>25</v>
      </c>
      <c r="T30" s="338">
        <f t="shared" si="38"/>
        <v>26</v>
      </c>
      <c r="U30" s="338">
        <f t="shared" si="38"/>
        <v>27</v>
      </c>
      <c r="V30" s="338">
        <f t="shared" si="38"/>
        <v>28</v>
      </c>
      <c r="W30" s="338">
        <f t="shared" si="38"/>
        <v>29</v>
      </c>
      <c r="X30" s="326">
        <f t="shared" si="38"/>
        <v>30</v>
      </c>
      <c r="Y30" s="326"/>
      <c r="Z30" s="326"/>
      <c r="AA30" s="326"/>
      <c r="AB30" s="326"/>
      <c r="AC30" s="340"/>
      <c r="AD30" s="340"/>
      <c r="AE30" s="340"/>
      <c r="AF30" s="340"/>
    </row>
    <row r="31">
      <c r="A31" s="340"/>
      <c r="B31" s="326">
        <f t="shared" si="30"/>
        <v>29</v>
      </c>
      <c r="C31" s="333">
        <f t="shared" ref="C31:D31" si="39">B31+1</f>
        <v>30</v>
      </c>
      <c r="D31" s="333">
        <f t="shared" si="39"/>
        <v>31</v>
      </c>
      <c r="E31" s="333">
        <v>1.0</v>
      </c>
      <c r="F31" s="333">
        <f t="shared" ref="F31:H31" si="40">E31+1</f>
        <v>2</v>
      </c>
      <c r="G31" s="334">
        <f t="shared" si="40"/>
        <v>3</v>
      </c>
      <c r="H31" s="326">
        <f t="shared" si="40"/>
        <v>4</v>
      </c>
      <c r="I31" s="328"/>
      <c r="J31" s="326"/>
      <c r="K31" s="327"/>
      <c r="L31" s="327"/>
      <c r="M31" s="327"/>
      <c r="N31" s="327"/>
      <c r="O31" s="327"/>
      <c r="P31" s="327"/>
      <c r="Q31" s="328"/>
      <c r="R31" s="326">
        <f t="shared" si="34"/>
        <v>31</v>
      </c>
      <c r="S31" s="327"/>
      <c r="T31" s="327"/>
      <c r="U31" s="327"/>
      <c r="V31" s="327"/>
      <c r="W31" s="327"/>
      <c r="X31" s="327"/>
      <c r="Y31" s="327"/>
      <c r="Z31" s="327"/>
      <c r="AA31" s="327"/>
      <c r="AB31" s="327"/>
      <c r="AC31" s="340"/>
      <c r="AD31" s="340"/>
      <c r="AE31" s="340"/>
      <c r="AF31" s="340"/>
    </row>
    <row r="32">
      <c r="A32" s="340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41"/>
      <c r="Z32" s="314"/>
      <c r="AA32" s="342">
        <v>46113.0</v>
      </c>
      <c r="AB32" s="342">
        <v>46120.0</v>
      </c>
      <c r="AC32" s="340"/>
      <c r="AD32" s="340"/>
      <c r="AE32" s="340"/>
      <c r="AF32" s="340"/>
    </row>
    <row r="33">
      <c r="A33" s="340"/>
      <c r="B33" s="312"/>
      <c r="C33" s="314"/>
      <c r="D33" s="314"/>
      <c r="E33" s="314"/>
      <c r="F33" s="314"/>
      <c r="G33" s="314"/>
      <c r="H33" s="314"/>
      <c r="I33" s="314"/>
      <c r="J33" s="314"/>
      <c r="K33" s="314"/>
      <c r="L33" s="343"/>
      <c r="M33" s="344" t="s">
        <v>850</v>
      </c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23"/>
      <c r="Y33" s="183"/>
      <c r="Z33" s="345" t="s">
        <v>748</v>
      </c>
      <c r="AA33" s="346" t="s">
        <v>851</v>
      </c>
      <c r="AB33" s="346" t="s">
        <v>852</v>
      </c>
      <c r="AC33" s="340"/>
      <c r="AD33" s="340"/>
      <c r="AE33" s="340"/>
      <c r="AF33" s="340"/>
    </row>
    <row r="34">
      <c r="A34" s="340"/>
      <c r="B34" s="322" t="s">
        <v>7</v>
      </c>
      <c r="C34" s="60"/>
      <c r="D34" s="60"/>
      <c r="E34" s="60"/>
      <c r="F34" s="60"/>
      <c r="G34" s="60"/>
      <c r="H34" s="23"/>
      <c r="I34" s="314"/>
      <c r="J34" s="314"/>
      <c r="K34" s="314"/>
      <c r="L34" s="347"/>
      <c r="M34" s="344" t="s">
        <v>853</v>
      </c>
      <c r="N34" s="60"/>
      <c r="O34" s="60"/>
      <c r="P34" s="60"/>
      <c r="Q34" s="60"/>
      <c r="R34" s="60"/>
      <c r="S34" s="23"/>
      <c r="T34" s="314"/>
      <c r="U34" s="314"/>
      <c r="V34" s="314"/>
      <c r="W34" s="314"/>
      <c r="X34" s="348"/>
      <c r="Y34" s="183"/>
      <c r="Z34" s="349" t="s">
        <v>624</v>
      </c>
      <c r="AA34" s="350" t="s">
        <v>854</v>
      </c>
      <c r="AB34" s="350" t="s">
        <v>855</v>
      </c>
      <c r="AC34" s="340"/>
      <c r="AD34" s="340"/>
      <c r="AE34" s="340"/>
      <c r="AF34" s="340"/>
    </row>
    <row r="35">
      <c r="A35" s="340"/>
      <c r="B35" s="326" t="s">
        <v>846</v>
      </c>
      <c r="C35" s="327" t="s">
        <v>847</v>
      </c>
      <c r="D35" s="327" t="s">
        <v>848</v>
      </c>
      <c r="E35" s="327" t="s">
        <v>849</v>
      </c>
      <c r="F35" s="327" t="s">
        <v>849</v>
      </c>
      <c r="G35" s="327" t="s">
        <v>847</v>
      </c>
      <c r="H35" s="326" t="s">
        <v>847</v>
      </c>
      <c r="I35" s="314"/>
      <c r="J35" s="314"/>
      <c r="K35" s="314"/>
      <c r="L35" s="335"/>
      <c r="M35" s="344" t="s">
        <v>856</v>
      </c>
      <c r="N35" s="60"/>
      <c r="O35" s="60"/>
      <c r="P35" s="60"/>
      <c r="Q35" s="60"/>
      <c r="R35" s="60"/>
      <c r="S35" s="23"/>
      <c r="T35" s="314"/>
      <c r="U35" s="314"/>
      <c r="V35" s="314"/>
      <c r="W35" s="314"/>
      <c r="X35" s="348"/>
      <c r="Y35" s="314"/>
      <c r="Z35" s="351"/>
      <c r="AA35" s="350" t="s">
        <v>857</v>
      </c>
      <c r="AB35" s="350" t="s">
        <v>858</v>
      </c>
      <c r="AC35" s="340"/>
      <c r="AD35" s="340"/>
      <c r="AE35" s="340"/>
      <c r="AF35" s="340"/>
    </row>
    <row r="36">
      <c r="A36" s="340"/>
      <c r="B36" s="326"/>
      <c r="C36" s="352">
        <v>1.0</v>
      </c>
      <c r="D36" s="352">
        <f t="shared" ref="D36:H36" si="41">C36+1</f>
        <v>2</v>
      </c>
      <c r="E36" s="352">
        <f t="shared" si="41"/>
        <v>3</v>
      </c>
      <c r="F36" s="352">
        <f t="shared" si="41"/>
        <v>4</v>
      </c>
      <c r="G36" s="352">
        <f t="shared" si="41"/>
        <v>5</v>
      </c>
      <c r="H36" s="326">
        <f t="shared" si="41"/>
        <v>6</v>
      </c>
      <c r="I36" s="314"/>
      <c r="J36" s="314"/>
      <c r="K36" s="314"/>
      <c r="L36" s="353"/>
      <c r="M36" s="344" t="s">
        <v>859</v>
      </c>
      <c r="N36" s="60"/>
      <c r="O36" s="60"/>
      <c r="P36" s="60"/>
      <c r="Q36" s="60"/>
      <c r="R36" s="60"/>
      <c r="S36" s="23"/>
      <c r="T36" s="314"/>
      <c r="U36" s="314"/>
      <c r="V36" s="314"/>
      <c r="W36" s="314"/>
      <c r="X36" s="314"/>
      <c r="Y36" s="354"/>
      <c r="Z36" s="314"/>
      <c r="AA36" s="350" t="s">
        <v>860</v>
      </c>
      <c r="AB36" s="350" t="s">
        <v>861</v>
      </c>
      <c r="AC36" s="340"/>
      <c r="AD36" s="340"/>
      <c r="AE36" s="340"/>
      <c r="AF36" s="340"/>
    </row>
    <row r="37">
      <c r="A37" s="340"/>
      <c r="B37" s="326">
        <f t="shared" ref="B37:B40" si="43">H36+1</f>
        <v>7</v>
      </c>
      <c r="C37" s="352">
        <f t="shared" ref="C37:H37" si="42">B37+1</f>
        <v>8</v>
      </c>
      <c r="D37" s="352">
        <f t="shared" si="42"/>
        <v>9</v>
      </c>
      <c r="E37" s="352">
        <f t="shared" si="42"/>
        <v>10</v>
      </c>
      <c r="F37" s="352">
        <f t="shared" si="42"/>
        <v>11</v>
      </c>
      <c r="G37" s="352">
        <f t="shared" si="42"/>
        <v>12</v>
      </c>
      <c r="H37" s="326">
        <f t="shared" si="42"/>
        <v>13</v>
      </c>
      <c r="I37" s="314"/>
      <c r="J37" s="314"/>
      <c r="K37" s="314"/>
      <c r="L37" s="355"/>
      <c r="M37" s="344" t="s">
        <v>862</v>
      </c>
      <c r="N37" s="60"/>
      <c r="O37" s="60"/>
      <c r="P37" s="60"/>
      <c r="Q37" s="60"/>
      <c r="R37" s="60"/>
      <c r="S37" s="23"/>
      <c r="T37" s="314"/>
      <c r="U37" s="314"/>
      <c r="V37" s="314"/>
      <c r="W37" s="314"/>
      <c r="X37" s="314"/>
      <c r="Y37" s="314"/>
      <c r="Z37" s="314"/>
      <c r="AA37" s="314"/>
      <c r="AB37" s="314"/>
      <c r="AC37" s="340"/>
      <c r="AD37" s="340"/>
      <c r="AE37" s="340"/>
      <c r="AF37" s="340"/>
    </row>
    <row r="38">
      <c r="A38" s="340"/>
      <c r="B38" s="326">
        <f t="shared" si="43"/>
        <v>14</v>
      </c>
      <c r="C38" s="352">
        <f t="shared" ref="C38:H38" si="44">B38+1</f>
        <v>15</v>
      </c>
      <c r="D38" s="352">
        <f t="shared" si="44"/>
        <v>16</v>
      </c>
      <c r="E38" s="352">
        <f t="shared" si="44"/>
        <v>17</v>
      </c>
      <c r="F38" s="352">
        <f t="shared" si="44"/>
        <v>18</v>
      </c>
      <c r="G38" s="352">
        <f t="shared" si="44"/>
        <v>19</v>
      </c>
      <c r="H38" s="326">
        <f t="shared" si="44"/>
        <v>20</v>
      </c>
      <c r="I38" s="314"/>
      <c r="J38" s="314"/>
      <c r="K38" s="314"/>
      <c r="L38" s="356"/>
      <c r="M38" s="344" t="s">
        <v>607</v>
      </c>
      <c r="N38" s="60"/>
      <c r="O38" s="60"/>
      <c r="P38" s="60"/>
      <c r="Q38" s="60"/>
      <c r="R38" s="60"/>
      <c r="S38" s="23"/>
      <c r="T38" s="346"/>
      <c r="U38" s="346"/>
      <c r="V38" s="346"/>
      <c r="W38" s="346"/>
      <c r="X38" s="346"/>
      <c r="Y38" s="346"/>
      <c r="Z38" s="346"/>
      <c r="AA38" s="346"/>
      <c r="AB38" s="346"/>
      <c r="AC38" s="340"/>
      <c r="AD38" s="340"/>
      <c r="AE38" s="340"/>
      <c r="AF38" s="340"/>
    </row>
    <row r="39">
      <c r="A39" s="340"/>
      <c r="B39" s="326">
        <f t="shared" si="43"/>
        <v>21</v>
      </c>
      <c r="C39" s="336">
        <f t="shared" ref="C39:H39" si="45">B39+1</f>
        <v>22</v>
      </c>
      <c r="D39" s="352">
        <f t="shared" si="45"/>
        <v>23</v>
      </c>
      <c r="E39" s="352">
        <f t="shared" si="45"/>
        <v>24</v>
      </c>
      <c r="F39" s="352">
        <f t="shared" si="45"/>
        <v>25</v>
      </c>
      <c r="G39" s="352">
        <f t="shared" si="45"/>
        <v>26</v>
      </c>
      <c r="H39" s="326">
        <f t="shared" si="45"/>
        <v>27</v>
      </c>
      <c r="I39" s="314"/>
      <c r="J39" s="314"/>
      <c r="K39" s="314"/>
      <c r="L39" s="352"/>
      <c r="M39" s="344" t="s">
        <v>862</v>
      </c>
      <c r="N39" s="60"/>
      <c r="O39" s="60"/>
      <c r="P39" s="60"/>
      <c r="Q39" s="60"/>
      <c r="R39" s="60"/>
      <c r="S39" s="23"/>
      <c r="T39" s="314"/>
      <c r="U39" s="314"/>
      <c r="V39" s="314"/>
      <c r="W39" s="314"/>
      <c r="X39" s="314"/>
      <c r="Y39" s="314"/>
      <c r="Z39" s="314"/>
      <c r="AA39" s="314"/>
      <c r="AB39" s="314"/>
      <c r="AC39" s="340"/>
      <c r="AD39" s="340"/>
      <c r="AE39" s="340"/>
      <c r="AF39" s="340"/>
    </row>
    <row r="40">
      <c r="A40" s="340"/>
      <c r="B40" s="326">
        <f t="shared" si="43"/>
        <v>28</v>
      </c>
      <c r="C40" s="352">
        <f t="shared" ref="C40:D40" si="46">B40+1</f>
        <v>29</v>
      </c>
      <c r="D40" s="352">
        <f t="shared" si="46"/>
        <v>30</v>
      </c>
      <c r="E40" s="337">
        <v>1.0</v>
      </c>
      <c r="F40" s="357">
        <v>2.0</v>
      </c>
      <c r="G40" s="357">
        <v>3.0</v>
      </c>
      <c r="H40" s="326"/>
      <c r="I40" s="314"/>
      <c r="J40" s="314"/>
      <c r="K40" s="314"/>
      <c r="L40" s="358"/>
      <c r="M40" s="344" t="s">
        <v>863</v>
      </c>
      <c r="N40" s="60"/>
      <c r="O40" s="60"/>
      <c r="P40" s="60"/>
      <c r="Q40" s="60"/>
      <c r="R40" s="60"/>
      <c r="S40" s="23"/>
      <c r="T40" s="346"/>
      <c r="U40" s="346"/>
      <c r="V40" s="346"/>
      <c r="W40" s="346"/>
      <c r="X40" s="346"/>
      <c r="Y40" s="346"/>
      <c r="Z40" s="346"/>
      <c r="AA40" s="346"/>
      <c r="AB40" s="346"/>
      <c r="AC40" s="340"/>
      <c r="AD40" s="340"/>
      <c r="AE40" s="340"/>
      <c r="AF40" s="340"/>
    </row>
    <row r="41">
      <c r="A41" s="340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60"/>
      <c r="M41" s="344" t="s">
        <v>864</v>
      </c>
      <c r="N41" s="60"/>
      <c r="O41" s="60"/>
      <c r="P41" s="60"/>
      <c r="Q41" s="60"/>
      <c r="R41" s="60"/>
      <c r="S41" s="23"/>
      <c r="T41" s="359"/>
      <c r="U41" s="359"/>
      <c r="V41" s="359"/>
      <c r="W41" s="359"/>
      <c r="X41" s="359"/>
      <c r="Y41" s="359"/>
      <c r="Z41" s="359"/>
      <c r="AA41" s="359"/>
      <c r="AB41" s="359"/>
      <c r="AC41" s="340"/>
      <c r="AD41" s="340"/>
      <c r="AE41" s="340"/>
      <c r="AF41" s="340"/>
    </row>
    <row r="42">
      <c r="A42" s="340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61"/>
      <c r="M42" s="344" t="s">
        <v>865</v>
      </c>
      <c r="N42" s="60"/>
      <c r="O42" s="60"/>
      <c r="P42" s="60"/>
      <c r="Q42" s="60"/>
      <c r="R42" s="60"/>
      <c r="S42" s="23"/>
      <c r="T42" s="359"/>
      <c r="U42" s="359"/>
      <c r="V42" s="359"/>
      <c r="W42" s="359"/>
      <c r="X42" s="359"/>
      <c r="Y42" s="359"/>
      <c r="Z42" s="359"/>
      <c r="AA42" s="359"/>
      <c r="AB42" s="359"/>
      <c r="AC42" s="340"/>
      <c r="AD42" s="340"/>
      <c r="AE42" s="340"/>
      <c r="AF42" s="340"/>
    </row>
    <row r="43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27"/>
      <c r="M43" s="362"/>
      <c r="N43" s="60"/>
      <c r="O43" s="60"/>
      <c r="P43" s="60"/>
      <c r="Q43" s="60"/>
      <c r="R43" s="60"/>
      <c r="S43" s="23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  <c r="AE43" s="340"/>
      <c r="AF43" s="340"/>
    </row>
    <row r="44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</row>
    <row r="45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</row>
    <row r="46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</row>
    <row r="47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</row>
    <row r="48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</row>
    <row r="49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</row>
    <row r="50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</row>
    <row r="51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</row>
    <row r="52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</row>
    <row r="53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</row>
    <row r="54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</row>
    <row r="55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</row>
    <row r="56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</row>
    <row r="57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</row>
    <row r="58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</row>
    <row r="59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</row>
    <row r="60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</row>
    <row r="61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</row>
    <row r="62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</row>
    <row r="63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</row>
    <row r="64">
      <c r="A64" s="340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</row>
    <row r="65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</row>
    <row r="66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</row>
    <row r="67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</row>
    <row r="68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</row>
    <row r="69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</row>
    <row r="70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</row>
    <row r="71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</row>
    <row r="72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</row>
    <row r="73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</row>
    <row r="74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</row>
    <row r="75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</row>
    <row r="76">
      <c r="A76" s="340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</row>
    <row r="77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</row>
    <row r="78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</row>
    <row r="79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  <c r="AE79" s="340"/>
      <c r="AF79" s="340"/>
    </row>
    <row r="80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  <c r="AE80" s="340"/>
      <c r="AF80" s="340"/>
    </row>
    <row r="81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0"/>
      <c r="AF81" s="340"/>
    </row>
    <row r="82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0"/>
      <c r="AF82" s="340"/>
    </row>
    <row r="83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  <c r="AC83" s="340"/>
      <c r="AD83" s="340"/>
      <c r="AE83" s="340"/>
      <c r="AF83" s="340"/>
    </row>
    <row r="84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  <c r="AC84" s="340"/>
      <c r="AD84" s="340"/>
      <c r="AE84" s="340"/>
      <c r="AF84" s="340"/>
    </row>
    <row r="85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  <c r="AC85" s="340"/>
      <c r="AD85" s="340"/>
      <c r="AE85" s="340"/>
      <c r="AF85" s="340"/>
    </row>
    <row r="86">
      <c r="A86" s="340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  <c r="AA86" s="340"/>
      <c r="AB86" s="340"/>
      <c r="AC86" s="340"/>
      <c r="AD86" s="340"/>
      <c r="AE86" s="340"/>
      <c r="AF86" s="340"/>
    </row>
    <row r="87">
      <c r="A87" s="340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  <c r="AA87" s="340"/>
      <c r="AB87" s="340"/>
      <c r="AC87" s="340"/>
      <c r="AD87" s="340"/>
      <c r="AE87" s="340"/>
      <c r="AF87" s="340"/>
    </row>
    <row r="88">
      <c r="A88" s="340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  <c r="AA88" s="340"/>
      <c r="AB88" s="340"/>
      <c r="AC88" s="340"/>
      <c r="AD88" s="340"/>
      <c r="AE88" s="340"/>
      <c r="AF88" s="340"/>
    </row>
    <row r="89">
      <c r="A89" s="340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340"/>
      <c r="AC89" s="340"/>
      <c r="AD89" s="340"/>
      <c r="AE89" s="340"/>
      <c r="AF89" s="340"/>
    </row>
    <row r="90">
      <c r="A90" s="340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  <c r="AA90" s="340"/>
      <c r="AB90" s="340"/>
      <c r="AC90" s="340"/>
      <c r="AD90" s="340"/>
      <c r="AE90" s="340"/>
      <c r="AF90" s="340"/>
    </row>
    <row r="91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  <c r="AE91" s="340"/>
      <c r="AF91" s="340"/>
    </row>
    <row r="92">
      <c r="A92" s="340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  <c r="AE92" s="340"/>
      <c r="AF92" s="340"/>
    </row>
    <row r="93">
      <c r="A93" s="340"/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340"/>
      <c r="AB93" s="340"/>
      <c r="AC93" s="340"/>
      <c r="AD93" s="340"/>
      <c r="AE93" s="340"/>
      <c r="AF93" s="340"/>
    </row>
    <row r="94">
      <c r="A94" s="340"/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  <c r="AA94" s="340"/>
      <c r="AB94" s="340"/>
      <c r="AC94" s="340"/>
      <c r="AD94" s="340"/>
      <c r="AE94" s="340"/>
      <c r="AF94" s="340"/>
    </row>
    <row r="95">
      <c r="A95" s="340"/>
      <c r="B95" s="340"/>
      <c r="C95" s="340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  <c r="AA95" s="340"/>
      <c r="AB95" s="340"/>
      <c r="AC95" s="340"/>
      <c r="AD95" s="340"/>
      <c r="AE95" s="340"/>
      <c r="AF95" s="340"/>
    </row>
    <row r="96">
      <c r="A96" s="340"/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  <c r="AA96" s="340"/>
      <c r="AB96" s="340"/>
      <c r="AC96" s="340"/>
      <c r="AD96" s="340"/>
      <c r="AE96" s="340"/>
      <c r="AF96" s="340"/>
    </row>
    <row r="97">
      <c r="A97" s="340"/>
      <c r="B97" s="340"/>
      <c r="C97" s="340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340"/>
      <c r="AC97" s="340"/>
      <c r="AD97" s="340"/>
      <c r="AE97" s="340"/>
      <c r="AF97" s="340"/>
    </row>
    <row r="98">
      <c r="A98" s="340"/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  <c r="AA98" s="340"/>
      <c r="AB98" s="340"/>
      <c r="AC98" s="340"/>
      <c r="AD98" s="340"/>
      <c r="AE98" s="340"/>
      <c r="AF98" s="340"/>
    </row>
    <row r="99">
      <c r="A99" s="340"/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  <c r="AC99" s="340"/>
      <c r="AD99" s="340"/>
      <c r="AE99" s="340"/>
      <c r="AF99" s="340"/>
    </row>
    <row r="100">
      <c r="A100" s="340"/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  <c r="AC100" s="340"/>
      <c r="AD100" s="340"/>
      <c r="AE100" s="340"/>
      <c r="AF100" s="340"/>
    </row>
    <row r="101">
      <c r="A101" s="340"/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  <c r="AC101" s="340"/>
      <c r="AD101" s="340"/>
      <c r="AE101" s="340"/>
      <c r="AF101" s="340"/>
    </row>
    <row r="102">
      <c r="A102" s="340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</row>
    <row r="103">
      <c r="A103" s="340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  <c r="AA103" s="340"/>
      <c r="AB103" s="340"/>
      <c r="AC103" s="340"/>
      <c r="AD103" s="340"/>
      <c r="AE103" s="340"/>
      <c r="AF103" s="340"/>
    </row>
    <row r="104">
      <c r="A104" s="340"/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  <c r="AA104" s="340"/>
      <c r="AB104" s="340"/>
      <c r="AC104" s="340"/>
      <c r="AD104" s="340"/>
      <c r="AE104" s="340"/>
      <c r="AF104" s="340"/>
    </row>
    <row r="105">
      <c r="A105" s="340"/>
      <c r="B105" s="340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340"/>
      <c r="AC105" s="340"/>
      <c r="AD105" s="340"/>
      <c r="AE105" s="340"/>
      <c r="AF105" s="340"/>
    </row>
    <row r="106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  <c r="AA106" s="340"/>
      <c r="AB106" s="340"/>
      <c r="AC106" s="340"/>
      <c r="AD106" s="340"/>
      <c r="AE106" s="340"/>
      <c r="AF106" s="340"/>
    </row>
    <row r="107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  <c r="AC107" s="340"/>
      <c r="AD107" s="340"/>
      <c r="AE107" s="340"/>
      <c r="AF107" s="340"/>
    </row>
    <row r="108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  <c r="AC108" s="340"/>
      <c r="AD108" s="340"/>
      <c r="AE108" s="340"/>
      <c r="AF108" s="340"/>
    </row>
    <row r="109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  <c r="AE109" s="340"/>
      <c r="AF109" s="340"/>
    </row>
    <row r="110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  <c r="AE110" s="340"/>
      <c r="AF110" s="340"/>
    </row>
    <row r="111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  <c r="AE111" s="340"/>
      <c r="AF111" s="340"/>
    </row>
    <row r="112">
      <c r="A112" s="340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</row>
    <row r="113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  <c r="AE113" s="340"/>
      <c r="AF113" s="340"/>
    </row>
    <row r="114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  <c r="AE114" s="340"/>
      <c r="AF114" s="340"/>
    </row>
    <row r="115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40"/>
    </row>
    <row r="116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  <c r="AE116" s="340"/>
      <c r="AF116" s="340"/>
    </row>
    <row r="117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  <c r="AE117" s="340"/>
      <c r="AF117" s="340"/>
    </row>
    <row r="118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  <c r="AE118" s="340"/>
      <c r="AF118" s="340"/>
    </row>
    <row r="119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  <c r="AE119" s="340"/>
      <c r="AF119" s="340"/>
    </row>
    <row r="120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  <c r="AE120" s="340"/>
      <c r="AF120" s="340"/>
    </row>
    <row r="121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  <c r="AE121" s="340"/>
      <c r="AF121" s="340"/>
    </row>
    <row r="122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  <c r="AC122" s="340"/>
      <c r="AD122" s="340"/>
      <c r="AE122" s="340"/>
      <c r="AF122" s="340"/>
    </row>
    <row r="123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  <c r="AC123" s="340"/>
      <c r="AD123" s="340"/>
      <c r="AE123" s="340"/>
      <c r="AF123" s="340"/>
    </row>
    <row r="124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  <c r="AC124" s="340"/>
      <c r="AD124" s="340"/>
      <c r="AE124" s="340"/>
      <c r="AF124" s="340"/>
    </row>
    <row r="125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  <c r="AC125" s="340"/>
      <c r="AD125" s="340"/>
      <c r="AE125" s="340"/>
      <c r="AF125" s="340"/>
    </row>
    <row r="126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  <c r="AC126" s="340"/>
      <c r="AD126" s="340"/>
      <c r="AE126" s="340"/>
      <c r="AF126" s="340"/>
    </row>
    <row r="127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  <c r="AC127" s="340"/>
      <c r="AD127" s="340"/>
      <c r="AE127" s="340"/>
      <c r="AF127" s="340"/>
    </row>
    <row r="128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  <c r="AC128" s="340"/>
      <c r="AD128" s="340"/>
      <c r="AE128" s="340"/>
      <c r="AF128" s="340"/>
    </row>
    <row r="129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  <c r="AC129" s="340"/>
      <c r="AD129" s="340"/>
      <c r="AE129" s="340"/>
      <c r="AF129" s="340"/>
    </row>
    <row r="130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  <c r="AA130" s="340"/>
      <c r="AB130" s="340"/>
      <c r="AC130" s="340"/>
      <c r="AD130" s="340"/>
      <c r="AE130" s="340"/>
      <c r="AF130" s="340"/>
    </row>
    <row r="131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  <c r="AA131" s="340"/>
      <c r="AB131" s="340"/>
      <c r="AC131" s="340"/>
      <c r="AD131" s="340"/>
      <c r="AE131" s="340"/>
      <c r="AF131" s="340"/>
    </row>
    <row r="132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  <c r="AA132" s="340"/>
      <c r="AB132" s="340"/>
      <c r="AC132" s="340"/>
      <c r="AD132" s="340"/>
      <c r="AE132" s="340"/>
      <c r="AF132" s="340"/>
    </row>
    <row r="133">
      <c r="A133" s="340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  <c r="AC133" s="340"/>
      <c r="AD133" s="340"/>
      <c r="AE133" s="340"/>
      <c r="AF133" s="340"/>
    </row>
    <row r="134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  <c r="AC134" s="340"/>
      <c r="AD134" s="340"/>
      <c r="AE134" s="340"/>
      <c r="AF134" s="340"/>
    </row>
    <row r="135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</row>
    <row r="136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  <c r="AA136" s="340"/>
      <c r="AB136" s="340"/>
      <c r="AC136" s="340"/>
      <c r="AD136" s="340"/>
      <c r="AE136" s="340"/>
      <c r="AF136" s="340"/>
    </row>
    <row r="137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  <c r="AC137" s="340"/>
      <c r="AD137" s="340"/>
      <c r="AE137" s="340"/>
      <c r="AF137" s="340"/>
    </row>
    <row r="138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  <c r="AC138" s="340"/>
      <c r="AD138" s="340"/>
      <c r="AE138" s="340"/>
      <c r="AF138" s="340"/>
    </row>
    <row r="139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  <c r="AC139" s="340"/>
      <c r="AD139" s="340"/>
      <c r="AE139" s="340"/>
      <c r="AF139" s="340"/>
    </row>
    <row r="140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  <c r="AE140" s="340"/>
      <c r="AF140" s="340"/>
    </row>
    <row r="141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  <c r="AE141" s="340"/>
      <c r="AF141" s="340"/>
    </row>
    <row r="142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  <c r="AA142" s="340"/>
      <c r="AB142" s="340"/>
      <c r="AC142" s="340"/>
      <c r="AD142" s="340"/>
      <c r="AE142" s="340"/>
      <c r="AF142" s="340"/>
    </row>
    <row r="143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  <c r="AA143" s="340"/>
      <c r="AB143" s="340"/>
      <c r="AC143" s="340"/>
      <c r="AD143" s="340"/>
      <c r="AE143" s="340"/>
      <c r="AF143" s="340"/>
    </row>
    <row r="144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  <c r="AA144" s="340"/>
      <c r="AB144" s="340"/>
      <c r="AC144" s="340"/>
      <c r="AD144" s="340"/>
      <c r="AE144" s="340"/>
      <c r="AF144" s="340"/>
    </row>
    <row r="145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  <c r="AA145" s="340"/>
      <c r="AB145" s="340"/>
      <c r="AC145" s="340"/>
      <c r="AD145" s="340"/>
      <c r="AE145" s="340"/>
      <c r="AF145" s="340"/>
    </row>
    <row r="146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  <c r="AA146" s="340"/>
      <c r="AB146" s="340"/>
      <c r="AC146" s="340"/>
      <c r="AD146" s="340"/>
      <c r="AE146" s="340"/>
      <c r="AF146" s="340"/>
    </row>
    <row r="147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  <c r="AA147" s="340"/>
      <c r="AB147" s="340"/>
      <c r="AC147" s="340"/>
      <c r="AD147" s="340"/>
      <c r="AE147" s="340"/>
      <c r="AF147" s="340"/>
    </row>
    <row r="148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  <c r="AA148" s="340"/>
      <c r="AB148" s="340"/>
      <c r="AC148" s="340"/>
      <c r="AD148" s="340"/>
      <c r="AE148" s="340"/>
      <c r="AF148" s="340"/>
    </row>
    <row r="149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  <c r="AC149" s="340"/>
      <c r="AD149" s="340"/>
      <c r="AE149" s="340"/>
      <c r="AF149" s="340"/>
    </row>
    <row r="150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  <c r="AC150" s="340"/>
      <c r="AD150" s="340"/>
      <c r="AE150" s="340"/>
      <c r="AF150" s="340"/>
    </row>
    <row r="151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  <c r="AE151" s="340"/>
      <c r="AF151" s="340"/>
    </row>
    <row r="152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  <c r="AE152" s="340"/>
      <c r="AF152" s="340"/>
    </row>
    <row r="153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  <c r="AA153" s="340"/>
      <c r="AB153" s="340"/>
      <c r="AC153" s="340"/>
      <c r="AD153" s="340"/>
      <c r="AE153" s="340"/>
      <c r="AF153" s="340"/>
    </row>
    <row r="154">
      <c r="A154" s="340"/>
      <c r="B154" s="340"/>
      <c r="C154" s="340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  <c r="AA154" s="340"/>
      <c r="AB154" s="340"/>
      <c r="AC154" s="340"/>
      <c r="AD154" s="340"/>
      <c r="AE154" s="340"/>
      <c r="AF154" s="340"/>
    </row>
    <row r="155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40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40"/>
      <c r="AE155" s="340"/>
      <c r="AF155" s="340"/>
    </row>
    <row r="156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40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  <c r="AA156" s="340"/>
      <c r="AB156" s="340"/>
      <c r="AC156" s="340"/>
      <c r="AD156" s="340"/>
      <c r="AE156" s="340"/>
      <c r="AF156" s="340"/>
    </row>
    <row r="157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  <c r="AC157" s="340"/>
      <c r="AD157" s="340"/>
      <c r="AE157" s="340"/>
      <c r="AF157" s="340"/>
    </row>
    <row r="158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  <c r="AA158" s="340"/>
      <c r="AB158" s="340"/>
      <c r="AC158" s="340"/>
      <c r="AD158" s="340"/>
      <c r="AE158" s="340"/>
      <c r="AF158" s="340"/>
    </row>
    <row r="159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  <c r="AE159" s="340"/>
      <c r="AF159" s="340"/>
    </row>
    <row r="160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  <c r="AE160" s="340"/>
      <c r="AF160" s="340"/>
    </row>
    <row r="161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40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  <c r="AE161" s="340"/>
      <c r="AF161" s="340"/>
    </row>
    <row r="162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40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  <c r="AA162" s="340"/>
      <c r="AB162" s="340"/>
      <c r="AC162" s="340"/>
      <c r="AD162" s="340"/>
      <c r="AE162" s="340"/>
      <c r="AF162" s="340"/>
    </row>
    <row r="163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  <c r="AA163" s="340"/>
      <c r="AB163" s="340"/>
      <c r="AC163" s="340"/>
      <c r="AD163" s="340"/>
      <c r="AE163" s="340"/>
      <c r="AF163" s="340"/>
    </row>
    <row r="164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40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  <c r="AA164" s="340"/>
      <c r="AB164" s="340"/>
      <c r="AC164" s="340"/>
      <c r="AD164" s="340"/>
      <c r="AE164" s="340"/>
      <c r="AF164" s="340"/>
    </row>
    <row r="165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40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  <c r="AE165" s="340"/>
      <c r="AF165" s="340"/>
    </row>
    <row r="166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  <c r="AE166" s="340"/>
      <c r="AF166" s="340"/>
    </row>
    <row r="167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  <c r="AE167" s="340"/>
      <c r="AF167" s="340"/>
    </row>
    <row r="168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  <c r="AA168" s="340"/>
      <c r="AB168" s="340"/>
      <c r="AC168" s="340"/>
      <c r="AD168" s="340"/>
      <c r="AE168" s="340"/>
      <c r="AF168" s="340"/>
    </row>
    <row r="169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  <c r="AA169" s="340"/>
      <c r="AB169" s="340"/>
      <c r="AC169" s="340"/>
      <c r="AD169" s="340"/>
      <c r="AE169" s="340"/>
      <c r="AF169" s="340"/>
    </row>
    <row r="170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  <c r="AE170" s="340"/>
      <c r="AF170" s="340"/>
    </row>
    <row r="171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  <c r="AE171" s="340"/>
      <c r="AF171" s="340"/>
    </row>
    <row r="172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  <c r="AA172" s="340"/>
      <c r="AB172" s="340"/>
      <c r="AC172" s="340"/>
      <c r="AD172" s="340"/>
      <c r="AE172" s="340"/>
      <c r="AF172" s="340"/>
    </row>
    <row r="173">
      <c r="A173" s="340"/>
      <c r="B173" s="340"/>
      <c r="C173" s="340"/>
      <c r="D173" s="340"/>
      <c r="E173" s="340"/>
      <c r="F173" s="340"/>
      <c r="G173" s="340"/>
      <c r="H173" s="340"/>
      <c r="I173" s="340"/>
      <c r="J173" s="340"/>
      <c r="K173" s="340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  <c r="AA173" s="340"/>
      <c r="AB173" s="340"/>
      <c r="AC173" s="340"/>
      <c r="AD173" s="340"/>
      <c r="AE173" s="340"/>
      <c r="AF173" s="340"/>
    </row>
    <row r="174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40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  <c r="AE174" s="340"/>
      <c r="AF174" s="340"/>
    </row>
    <row r="175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  <c r="AE175" s="340"/>
      <c r="AF175" s="340"/>
    </row>
    <row r="176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40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  <c r="AA176" s="340"/>
      <c r="AB176" s="340"/>
      <c r="AC176" s="340"/>
      <c r="AD176" s="340"/>
      <c r="AE176" s="340"/>
      <c r="AF176" s="340"/>
    </row>
    <row r="177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40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  <c r="AA177" s="340"/>
      <c r="AB177" s="340"/>
      <c r="AC177" s="340"/>
      <c r="AD177" s="340"/>
      <c r="AE177" s="340"/>
      <c r="AF177" s="340"/>
    </row>
    <row r="178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  <c r="AC178" s="340"/>
      <c r="AD178" s="340"/>
      <c r="AE178" s="340"/>
      <c r="AF178" s="340"/>
    </row>
    <row r="179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  <c r="AC179" s="340"/>
      <c r="AD179" s="340"/>
      <c r="AE179" s="340"/>
      <c r="AF179" s="340"/>
    </row>
    <row r="180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  <c r="AE180" s="340"/>
      <c r="AF180" s="340"/>
    </row>
    <row r="18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  <c r="AC181" s="340"/>
      <c r="AD181" s="340"/>
      <c r="AE181" s="340"/>
      <c r="AF181" s="340"/>
    </row>
    <row r="182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  <c r="AC182" s="340"/>
      <c r="AD182" s="340"/>
      <c r="AE182" s="340"/>
      <c r="AF182" s="340"/>
    </row>
    <row r="183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  <c r="AC183" s="340"/>
      <c r="AD183" s="340"/>
      <c r="AE183" s="340"/>
      <c r="AF183" s="340"/>
    </row>
    <row r="184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  <c r="AC184" s="340"/>
      <c r="AD184" s="340"/>
      <c r="AE184" s="340"/>
      <c r="AF184" s="340"/>
    </row>
    <row r="185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  <c r="AC185" s="340"/>
      <c r="AD185" s="340"/>
      <c r="AE185" s="340"/>
      <c r="AF185" s="340"/>
    </row>
    <row r="186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  <c r="AC186" s="340"/>
      <c r="AD186" s="340"/>
      <c r="AE186" s="340"/>
      <c r="AF186" s="340"/>
    </row>
    <row r="187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  <c r="AE187" s="340"/>
      <c r="AF187" s="340"/>
    </row>
    <row r="188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  <c r="AC188" s="340"/>
      <c r="AD188" s="340"/>
      <c r="AE188" s="340"/>
      <c r="AF188" s="340"/>
    </row>
    <row r="189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  <c r="AE189" s="340"/>
      <c r="AF189" s="340"/>
    </row>
    <row r="190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  <c r="AE190" s="340"/>
      <c r="AF190" s="340"/>
    </row>
    <row r="191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  <c r="AC191" s="340"/>
      <c r="AD191" s="340"/>
      <c r="AE191" s="340"/>
      <c r="AF191" s="340"/>
    </row>
    <row r="192">
      <c r="A192" s="340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  <c r="AC192" s="340"/>
      <c r="AD192" s="340"/>
      <c r="AE192" s="340"/>
      <c r="AF192" s="340"/>
    </row>
    <row r="193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  <c r="AC193" s="340"/>
      <c r="AD193" s="340"/>
      <c r="AE193" s="340"/>
      <c r="AF193" s="340"/>
    </row>
    <row r="194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  <c r="AC194" s="340"/>
      <c r="AD194" s="340"/>
      <c r="AE194" s="340"/>
      <c r="AF194" s="340"/>
    </row>
    <row r="195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  <c r="AC195" s="340"/>
      <c r="AD195" s="340"/>
      <c r="AE195" s="340"/>
      <c r="AF195" s="340"/>
    </row>
    <row r="196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  <c r="AE196" s="340"/>
      <c r="AF196" s="340"/>
    </row>
    <row r="197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  <c r="AC197" s="340"/>
      <c r="AD197" s="340"/>
      <c r="AE197" s="340"/>
      <c r="AF197" s="340"/>
    </row>
    <row r="198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  <c r="AC198" s="340"/>
      <c r="AD198" s="340"/>
      <c r="AE198" s="340"/>
      <c r="AF198" s="340"/>
    </row>
    <row r="199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  <c r="AE199" s="340"/>
      <c r="AF199" s="340"/>
    </row>
    <row r="200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  <c r="AC200" s="340"/>
      <c r="AD200" s="340"/>
      <c r="AE200" s="340"/>
      <c r="AF200" s="340"/>
    </row>
    <row r="201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  <c r="AC201" s="340"/>
      <c r="AD201" s="340"/>
      <c r="AE201" s="340"/>
      <c r="AF201" s="340"/>
    </row>
    <row r="202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  <c r="AC202" s="340"/>
      <c r="AD202" s="340"/>
      <c r="AE202" s="340"/>
      <c r="AF202" s="340"/>
    </row>
    <row r="203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  <c r="AC203" s="340"/>
      <c r="AD203" s="340"/>
      <c r="AE203" s="340"/>
      <c r="AF203" s="340"/>
    </row>
    <row r="204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  <c r="AC204" s="340"/>
      <c r="AD204" s="340"/>
      <c r="AE204" s="340"/>
      <c r="AF204" s="340"/>
    </row>
    <row r="205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  <c r="AC205" s="340"/>
      <c r="AD205" s="340"/>
      <c r="AE205" s="340"/>
      <c r="AF205" s="340"/>
    </row>
    <row r="206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  <c r="AC206" s="340"/>
      <c r="AD206" s="340"/>
      <c r="AE206" s="340"/>
      <c r="AF206" s="340"/>
    </row>
    <row r="207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  <c r="AE207" s="340"/>
      <c r="AF207" s="340"/>
    </row>
    <row r="208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  <c r="AC208" s="340"/>
      <c r="AD208" s="340"/>
      <c r="AE208" s="340"/>
      <c r="AF208" s="340"/>
    </row>
    <row r="209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  <c r="AC209" s="340"/>
      <c r="AD209" s="340"/>
      <c r="AE209" s="340"/>
      <c r="AF209" s="340"/>
    </row>
    <row r="210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  <c r="AC210" s="340"/>
      <c r="AD210" s="340"/>
      <c r="AE210" s="340"/>
      <c r="AF210" s="340"/>
    </row>
    <row r="211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  <c r="AC211" s="340"/>
      <c r="AD211" s="340"/>
      <c r="AE211" s="340"/>
      <c r="AF211" s="340"/>
    </row>
    <row r="212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  <c r="AC212" s="340"/>
      <c r="AD212" s="340"/>
      <c r="AE212" s="340"/>
      <c r="AF212" s="340"/>
    </row>
    <row r="213">
      <c r="A213" s="340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  <c r="AE213" s="340"/>
      <c r="AF213" s="340"/>
    </row>
    <row r="214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  <c r="AC214" s="340"/>
      <c r="AD214" s="340"/>
      <c r="AE214" s="340"/>
      <c r="AF214" s="340"/>
    </row>
    <row r="215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  <c r="AC215" s="340"/>
      <c r="AD215" s="340"/>
      <c r="AE215" s="340"/>
      <c r="AF215" s="340"/>
    </row>
    <row r="216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  <c r="AC216" s="340"/>
      <c r="AD216" s="340"/>
      <c r="AE216" s="340"/>
      <c r="AF216" s="340"/>
    </row>
    <row r="217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  <c r="AC217" s="340"/>
      <c r="AD217" s="340"/>
      <c r="AE217" s="340"/>
      <c r="AF217" s="340"/>
    </row>
    <row r="218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  <c r="AC218" s="340"/>
      <c r="AD218" s="340"/>
      <c r="AE218" s="340"/>
      <c r="AF218" s="340"/>
    </row>
    <row r="219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  <c r="AC219" s="340"/>
      <c r="AD219" s="340"/>
      <c r="AE219" s="340"/>
      <c r="AF219" s="340"/>
    </row>
    <row r="220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  <c r="AC220" s="340"/>
      <c r="AD220" s="340"/>
      <c r="AE220" s="340"/>
      <c r="AF220" s="340"/>
    </row>
    <row r="221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  <c r="AC221" s="340"/>
      <c r="AD221" s="340"/>
      <c r="AE221" s="340"/>
      <c r="AF221" s="340"/>
    </row>
    <row r="222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  <c r="AC222" s="340"/>
      <c r="AD222" s="340"/>
      <c r="AE222" s="340"/>
      <c r="AF222" s="340"/>
    </row>
    <row r="223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  <c r="AC223" s="340"/>
      <c r="AD223" s="340"/>
      <c r="AE223" s="340"/>
      <c r="AF223" s="340"/>
    </row>
    <row r="224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  <c r="AC224" s="340"/>
      <c r="AD224" s="340"/>
      <c r="AE224" s="340"/>
      <c r="AF224" s="340"/>
    </row>
    <row r="225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  <c r="AC225" s="340"/>
      <c r="AD225" s="340"/>
      <c r="AE225" s="340"/>
      <c r="AF225" s="340"/>
    </row>
    <row r="226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0"/>
      <c r="AD226" s="340"/>
      <c r="AE226" s="340"/>
      <c r="AF226" s="340"/>
    </row>
    <row r="227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  <c r="AC227" s="340"/>
      <c r="AD227" s="340"/>
      <c r="AE227" s="340"/>
      <c r="AF227" s="340"/>
    </row>
    <row r="228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  <c r="AC228" s="340"/>
      <c r="AD228" s="340"/>
      <c r="AE228" s="340"/>
      <c r="AF228" s="340"/>
    </row>
    <row r="229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  <c r="AC229" s="340"/>
      <c r="AD229" s="340"/>
      <c r="AE229" s="340"/>
      <c r="AF229" s="340"/>
    </row>
    <row r="230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  <c r="AC230" s="340"/>
      <c r="AD230" s="340"/>
      <c r="AE230" s="340"/>
      <c r="AF230" s="340"/>
    </row>
    <row r="231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  <c r="AC231" s="340"/>
      <c r="AD231" s="340"/>
      <c r="AE231" s="340"/>
      <c r="AF231" s="340"/>
    </row>
    <row r="232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  <c r="AC232" s="340"/>
      <c r="AD232" s="340"/>
      <c r="AE232" s="340"/>
      <c r="AF232" s="340"/>
    </row>
    <row r="233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  <c r="AC233" s="340"/>
      <c r="AD233" s="340"/>
      <c r="AE233" s="340"/>
      <c r="AF233" s="340"/>
    </row>
    <row r="234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  <c r="AC234" s="340"/>
      <c r="AD234" s="340"/>
      <c r="AE234" s="340"/>
      <c r="AF234" s="340"/>
    </row>
    <row r="235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  <c r="AE235" s="340"/>
      <c r="AF235" s="340"/>
    </row>
    <row r="236">
      <c r="A236" s="340"/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  <c r="AC236" s="340"/>
      <c r="AD236" s="340"/>
      <c r="AE236" s="340"/>
      <c r="AF236" s="340"/>
    </row>
    <row r="237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  <c r="AC237" s="340"/>
      <c r="AD237" s="340"/>
      <c r="AE237" s="340"/>
      <c r="AF237" s="340"/>
    </row>
    <row r="238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  <c r="AC238" s="340"/>
      <c r="AD238" s="340"/>
      <c r="AE238" s="340"/>
      <c r="AF238" s="340"/>
    </row>
    <row r="239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  <c r="AC239" s="340"/>
      <c r="AD239" s="340"/>
      <c r="AE239" s="340"/>
      <c r="AF239" s="340"/>
    </row>
    <row r="240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  <c r="AC240" s="340"/>
      <c r="AD240" s="340"/>
      <c r="AE240" s="340"/>
      <c r="AF240" s="340"/>
    </row>
    <row r="241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  <c r="AC241" s="340"/>
      <c r="AD241" s="340"/>
      <c r="AE241" s="340"/>
      <c r="AF241" s="340"/>
    </row>
    <row r="242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  <c r="AC242" s="340"/>
      <c r="AD242" s="340"/>
      <c r="AE242" s="340"/>
      <c r="AF242" s="340"/>
    </row>
    <row r="243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  <c r="AC243" s="340"/>
      <c r="AD243" s="340"/>
      <c r="AE243" s="340"/>
      <c r="AF243" s="340"/>
    </row>
    <row r="244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  <c r="AC244" s="340"/>
      <c r="AD244" s="340"/>
      <c r="AE244" s="340"/>
      <c r="AF244" s="340"/>
    </row>
    <row r="245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  <c r="AC245" s="340"/>
      <c r="AD245" s="340"/>
      <c r="AE245" s="340"/>
      <c r="AF245" s="340"/>
    </row>
    <row r="246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  <c r="AC246" s="340"/>
      <c r="AD246" s="340"/>
      <c r="AE246" s="340"/>
      <c r="AF246" s="340"/>
    </row>
    <row r="247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0"/>
      <c r="AD247" s="340"/>
      <c r="AE247" s="340"/>
      <c r="AF247" s="340"/>
    </row>
    <row r="248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  <c r="AC248" s="340"/>
      <c r="AD248" s="340"/>
      <c r="AE248" s="340"/>
      <c r="AF248" s="340"/>
    </row>
    <row r="249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  <c r="AC249" s="340"/>
      <c r="AD249" s="340"/>
      <c r="AE249" s="340"/>
      <c r="AF249" s="340"/>
    </row>
    <row r="250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  <c r="AE250" s="340"/>
      <c r="AF250" s="340"/>
    </row>
    <row r="251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0"/>
      <c r="AD251" s="340"/>
      <c r="AE251" s="340"/>
      <c r="AF251" s="340"/>
    </row>
    <row r="252">
      <c r="A252" s="340"/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  <c r="AC252" s="340"/>
      <c r="AD252" s="340"/>
      <c r="AE252" s="340"/>
      <c r="AF252" s="340"/>
    </row>
    <row r="253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  <c r="AC253" s="340"/>
      <c r="AD253" s="340"/>
      <c r="AE253" s="340"/>
      <c r="AF253" s="340"/>
    </row>
    <row r="254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  <c r="AC254" s="340"/>
      <c r="AD254" s="340"/>
      <c r="AE254" s="340"/>
      <c r="AF254" s="340"/>
    </row>
    <row r="255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0"/>
      <c r="AD255" s="340"/>
      <c r="AE255" s="340"/>
      <c r="AF255" s="340"/>
    </row>
    <row r="256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  <c r="AC256" s="340"/>
      <c r="AD256" s="340"/>
      <c r="AE256" s="340"/>
      <c r="AF256" s="340"/>
    </row>
    <row r="257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  <c r="AC257" s="340"/>
      <c r="AD257" s="340"/>
      <c r="AE257" s="340"/>
      <c r="AF257" s="340"/>
    </row>
    <row r="258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  <c r="AC258" s="340"/>
      <c r="AD258" s="340"/>
      <c r="AE258" s="340"/>
      <c r="AF258" s="340"/>
    </row>
    <row r="259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  <c r="AC259" s="340"/>
      <c r="AD259" s="340"/>
      <c r="AE259" s="340"/>
      <c r="AF259" s="340"/>
    </row>
    <row r="260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  <c r="AC260" s="340"/>
      <c r="AD260" s="340"/>
      <c r="AE260" s="340"/>
      <c r="AF260" s="340"/>
    </row>
    <row r="261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  <c r="AC261" s="340"/>
      <c r="AD261" s="340"/>
      <c r="AE261" s="340"/>
      <c r="AF261" s="340"/>
    </row>
    <row r="262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  <c r="AC262" s="340"/>
      <c r="AD262" s="340"/>
      <c r="AE262" s="340"/>
      <c r="AF262" s="340"/>
    </row>
    <row r="263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  <c r="AC263" s="340"/>
      <c r="AD263" s="340"/>
      <c r="AE263" s="340"/>
      <c r="AF263" s="340"/>
    </row>
    <row r="264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  <c r="AC264" s="340"/>
      <c r="AD264" s="340"/>
      <c r="AE264" s="340"/>
      <c r="AF264" s="340"/>
    </row>
    <row r="265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  <c r="AC265" s="340"/>
      <c r="AD265" s="340"/>
      <c r="AE265" s="340"/>
      <c r="AF265" s="340"/>
    </row>
    <row r="266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  <c r="AC266" s="340"/>
      <c r="AD266" s="340"/>
      <c r="AE266" s="340"/>
      <c r="AF266" s="340"/>
    </row>
    <row r="267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  <c r="AC267" s="340"/>
      <c r="AD267" s="340"/>
      <c r="AE267" s="340"/>
      <c r="AF267" s="340"/>
    </row>
    <row r="268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  <c r="AC268" s="340"/>
      <c r="AD268" s="340"/>
      <c r="AE268" s="340"/>
      <c r="AF268" s="340"/>
    </row>
    <row r="269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  <c r="AC269" s="340"/>
      <c r="AD269" s="340"/>
      <c r="AE269" s="340"/>
      <c r="AF269" s="340"/>
    </row>
    <row r="270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  <c r="AE270" s="340"/>
      <c r="AF270" s="340"/>
    </row>
    <row r="271">
      <c r="A271" s="340"/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  <c r="AC271" s="340"/>
      <c r="AD271" s="340"/>
      <c r="AE271" s="340"/>
      <c r="AF271" s="340"/>
    </row>
    <row r="272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  <c r="AE272" s="340"/>
      <c r="AF272" s="340"/>
    </row>
    <row r="273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  <c r="AC273" s="340"/>
      <c r="AD273" s="340"/>
      <c r="AE273" s="340"/>
      <c r="AF273" s="340"/>
    </row>
    <row r="274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  <c r="AC274" s="340"/>
      <c r="AD274" s="340"/>
      <c r="AE274" s="340"/>
      <c r="AF274" s="340"/>
    </row>
    <row r="275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  <c r="AC275" s="340"/>
      <c r="AD275" s="340"/>
      <c r="AE275" s="340"/>
      <c r="AF275" s="340"/>
    </row>
    <row r="276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  <c r="AC276" s="340"/>
      <c r="AD276" s="340"/>
      <c r="AE276" s="340"/>
      <c r="AF276" s="340"/>
    </row>
    <row r="277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  <c r="AC277" s="340"/>
      <c r="AD277" s="340"/>
      <c r="AE277" s="340"/>
      <c r="AF277" s="340"/>
    </row>
    <row r="278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  <c r="AC278" s="340"/>
      <c r="AD278" s="340"/>
      <c r="AE278" s="340"/>
      <c r="AF278" s="340"/>
    </row>
    <row r="279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0"/>
      <c r="AD279" s="340"/>
      <c r="AE279" s="340"/>
      <c r="AF279" s="340"/>
    </row>
    <row r="280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  <c r="AC280" s="340"/>
      <c r="AD280" s="340"/>
      <c r="AE280" s="340"/>
      <c r="AF280" s="340"/>
    </row>
    <row r="281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  <c r="AC281" s="340"/>
      <c r="AD281" s="340"/>
      <c r="AE281" s="340"/>
      <c r="AF281" s="340"/>
    </row>
    <row r="282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  <c r="AC282" s="340"/>
      <c r="AD282" s="340"/>
      <c r="AE282" s="340"/>
      <c r="AF282" s="340"/>
    </row>
    <row r="283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0"/>
      <c r="AD283" s="340"/>
      <c r="AE283" s="340"/>
      <c r="AF283" s="340"/>
    </row>
    <row r="284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  <c r="AC284" s="340"/>
      <c r="AD284" s="340"/>
      <c r="AE284" s="340"/>
      <c r="AF284" s="340"/>
    </row>
    <row r="285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  <c r="AE285" s="340"/>
      <c r="AF285" s="340"/>
    </row>
    <row r="286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  <c r="AC286" s="340"/>
      <c r="AD286" s="340"/>
      <c r="AE286" s="340"/>
      <c r="AF286" s="340"/>
    </row>
    <row r="287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0"/>
      <c r="AD287" s="340"/>
      <c r="AE287" s="340"/>
      <c r="AF287" s="340"/>
    </row>
    <row r="288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  <c r="AC288" s="340"/>
      <c r="AD288" s="340"/>
      <c r="AE288" s="340"/>
      <c r="AF288" s="340"/>
    </row>
    <row r="289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  <c r="AC289" s="340"/>
      <c r="AD289" s="340"/>
      <c r="AE289" s="340"/>
      <c r="AF289" s="340"/>
    </row>
    <row r="290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  <c r="AC290" s="340"/>
      <c r="AD290" s="340"/>
      <c r="AE290" s="340"/>
      <c r="AF290" s="340"/>
    </row>
    <row r="291">
      <c r="A291" s="340"/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0"/>
      <c r="AD291" s="340"/>
      <c r="AE291" s="340"/>
      <c r="AF291" s="340"/>
    </row>
    <row r="292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  <c r="AC292" s="340"/>
      <c r="AD292" s="340"/>
      <c r="AE292" s="340"/>
      <c r="AF292" s="340"/>
    </row>
    <row r="293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  <c r="AC293" s="340"/>
      <c r="AD293" s="340"/>
      <c r="AE293" s="340"/>
      <c r="AF293" s="340"/>
    </row>
    <row r="294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  <c r="AC294" s="340"/>
      <c r="AD294" s="340"/>
      <c r="AE294" s="340"/>
      <c r="AF294" s="340"/>
    </row>
    <row r="295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0"/>
      <c r="AD295" s="340"/>
      <c r="AE295" s="340"/>
      <c r="AF295" s="340"/>
    </row>
    <row r="296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  <c r="AC296" s="340"/>
      <c r="AD296" s="340"/>
      <c r="AE296" s="340"/>
      <c r="AF296" s="340"/>
    </row>
    <row r="297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  <c r="AC297" s="340"/>
      <c r="AD297" s="340"/>
      <c r="AE297" s="340"/>
      <c r="AF297" s="340"/>
    </row>
    <row r="298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  <c r="AC298" s="340"/>
      <c r="AD298" s="340"/>
      <c r="AE298" s="340"/>
      <c r="AF298" s="340"/>
    </row>
    <row r="299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  <c r="AC299" s="340"/>
      <c r="AD299" s="340"/>
      <c r="AE299" s="340"/>
      <c r="AF299" s="340"/>
    </row>
    <row r="300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  <c r="AC300" s="340"/>
      <c r="AD300" s="340"/>
      <c r="AE300" s="340"/>
      <c r="AF300" s="340"/>
    </row>
    <row r="301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  <c r="AC301" s="340"/>
      <c r="AD301" s="340"/>
      <c r="AE301" s="340"/>
      <c r="AF301" s="340"/>
    </row>
    <row r="302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  <c r="AC302" s="340"/>
      <c r="AD302" s="340"/>
      <c r="AE302" s="340"/>
      <c r="AF302" s="340"/>
    </row>
    <row r="303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  <c r="AC303" s="340"/>
      <c r="AD303" s="340"/>
      <c r="AE303" s="340"/>
      <c r="AF303" s="340"/>
    </row>
    <row r="304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  <c r="AC304" s="340"/>
      <c r="AD304" s="340"/>
      <c r="AE304" s="340"/>
      <c r="AF304" s="340"/>
    </row>
    <row r="305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  <c r="AC305" s="340"/>
      <c r="AD305" s="340"/>
      <c r="AE305" s="340"/>
      <c r="AF305" s="340"/>
    </row>
    <row r="306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  <c r="AC306" s="340"/>
      <c r="AD306" s="340"/>
      <c r="AE306" s="340"/>
      <c r="AF306" s="340"/>
    </row>
    <row r="307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  <c r="AC307" s="340"/>
      <c r="AD307" s="340"/>
      <c r="AE307" s="340"/>
      <c r="AF307" s="340"/>
    </row>
    <row r="308">
      <c r="A308" s="340"/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  <c r="AC308" s="340"/>
      <c r="AD308" s="340"/>
      <c r="AE308" s="340"/>
      <c r="AF308" s="340"/>
    </row>
    <row r="309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  <c r="AC309" s="340"/>
      <c r="AD309" s="340"/>
      <c r="AE309" s="340"/>
      <c r="AF309" s="340"/>
    </row>
    <row r="310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  <c r="AC310" s="340"/>
      <c r="AD310" s="340"/>
      <c r="AE310" s="340"/>
      <c r="AF310" s="340"/>
    </row>
    <row r="311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  <c r="AC311" s="340"/>
      <c r="AD311" s="340"/>
      <c r="AE311" s="340"/>
      <c r="AF311" s="340"/>
    </row>
    <row r="312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  <c r="AC312" s="340"/>
      <c r="AD312" s="340"/>
      <c r="AE312" s="340"/>
      <c r="AF312" s="340"/>
    </row>
    <row r="313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  <c r="AC313" s="340"/>
      <c r="AD313" s="340"/>
      <c r="AE313" s="340"/>
      <c r="AF313" s="340"/>
    </row>
    <row r="314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  <c r="AC314" s="340"/>
      <c r="AD314" s="340"/>
      <c r="AE314" s="340"/>
      <c r="AF314" s="340"/>
    </row>
    <row r="315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  <c r="AC315" s="340"/>
      <c r="AD315" s="340"/>
      <c r="AE315" s="340"/>
      <c r="AF315" s="340"/>
    </row>
    <row r="316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  <c r="AC316" s="340"/>
      <c r="AD316" s="340"/>
      <c r="AE316" s="340"/>
      <c r="AF316" s="340"/>
    </row>
    <row r="317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  <c r="AC317" s="340"/>
      <c r="AD317" s="340"/>
      <c r="AE317" s="340"/>
      <c r="AF317" s="340"/>
    </row>
    <row r="318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  <c r="AC318" s="340"/>
      <c r="AD318" s="340"/>
      <c r="AE318" s="340"/>
      <c r="AF318" s="340"/>
    </row>
    <row r="319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  <c r="AC319" s="340"/>
      <c r="AD319" s="340"/>
      <c r="AE319" s="340"/>
      <c r="AF319" s="340"/>
    </row>
    <row r="320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  <c r="AC320" s="340"/>
      <c r="AD320" s="340"/>
      <c r="AE320" s="340"/>
      <c r="AF320" s="340"/>
    </row>
    <row r="321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  <c r="AC321" s="340"/>
      <c r="AD321" s="340"/>
      <c r="AE321" s="340"/>
      <c r="AF321" s="340"/>
    </row>
    <row r="322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  <c r="AC322" s="340"/>
      <c r="AD322" s="340"/>
      <c r="AE322" s="340"/>
      <c r="AF322" s="340"/>
    </row>
    <row r="323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  <c r="AC323" s="340"/>
      <c r="AD323" s="340"/>
      <c r="AE323" s="340"/>
      <c r="AF323" s="340"/>
    </row>
    <row r="324">
      <c r="A324" s="34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  <c r="AC324" s="340"/>
      <c r="AD324" s="340"/>
      <c r="AE324" s="340"/>
      <c r="AF324" s="340"/>
    </row>
    <row r="325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  <c r="AC325" s="340"/>
      <c r="AD325" s="340"/>
      <c r="AE325" s="340"/>
      <c r="AF325" s="340"/>
    </row>
    <row r="326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  <c r="AC326" s="340"/>
      <c r="AD326" s="340"/>
      <c r="AE326" s="340"/>
      <c r="AF326" s="340"/>
    </row>
    <row r="327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  <c r="AC327" s="340"/>
      <c r="AD327" s="340"/>
      <c r="AE327" s="340"/>
      <c r="AF327" s="340"/>
    </row>
    <row r="328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  <c r="AC328" s="340"/>
      <c r="AD328" s="340"/>
      <c r="AE328" s="340"/>
      <c r="AF328" s="340"/>
    </row>
    <row r="329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  <c r="AC329" s="340"/>
      <c r="AD329" s="340"/>
      <c r="AE329" s="340"/>
      <c r="AF329" s="340"/>
    </row>
    <row r="330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  <c r="AC330" s="340"/>
      <c r="AD330" s="340"/>
      <c r="AE330" s="340"/>
      <c r="AF330" s="340"/>
    </row>
    <row r="331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  <c r="AC331" s="340"/>
      <c r="AD331" s="340"/>
      <c r="AE331" s="340"/>
      <c r="AF331" s="340"/>
    </row>
    <row r="332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  <c r="AC332" s="340"/>
      <c r="AD332" s="340"/>
      <c r="AE332" s="340"/>
      <c r="AF332" s="340"/>
    </row>
    <row r="333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  <c r="AC333" s="340"/>
      <c r="AD333" s="340"/>
      <c r="AE333" s="340"/>
      <c r="AF333" s="340"/>
    </row>
    <row r="334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  <c r="AC334" s="340"/>
      <c r="AD334" s="340"/>
      <c r="AE334" s="340"/>
      <c r="AF334" s="340"/>
    </row>
    <row r="335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  <c r="AC335" s="340"/>
      <c r="AD335" s="340"/>
      <c r="AE335" s="340"/>
      <c r="AF335" s="340"/>
    </row>
    <row r="336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  <c r="AC336" s="340"/>
      <c r="AD336" s="340"/>
      <c r="AE336" s="340"/>
      <c r="AF336" s="340"/>
    </row>
    <row r="337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  <c r="AC337" s="340"/>
      <c r="AD337" s="340"/>
      <c r="AE337" s="340"/>
      <c r="AF337" s="340"/>
    </row>
    <row r="338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  <c r="AC338" s="340"/>
      <c r="AD338" s="340"/>
      <c r="AE338" s="340"/>
      <c r="AF338" s="340"/>
    </row>
    <row r="339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  <c r="AC339" s="340"/>
      <c r="AD339" s="340"/>
      <c r="AE339" s="340"/>
      <c r="AF339" s="340"/>
    </row>
    <row r="340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  <c r="AC340" s="340"/>
      <c r="AD340" s="340"/>
      <c r="AE340" s="340"/>
      <c r="AF340" s="340"/>
    </row>
    <row r="341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  <c r="AC341" s="340"/>
      <c r="AD341" s="340"/>
      <c r="AE341" s="340"/>
      <c r="AF341" s="340"/>
    </row>
    <row r="342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  <c r="AC342" s="340"/>
      <c r="AD342" s="340"/>
      <c r="AE342" s="340"/>
      <c r="AF342" s="340"/>
    </row>
    <row r="343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  <c r="AC343" s="340"/>
      <c r="AD343" s="340"/>
      <c r="AE343" s="340"/>
      <c r="AF343" s="340"/>
    </row>
    <row r="344">
      <c r="A344" s="340"/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  <c r="AC344" s="340"/>
      <c r="AD344" s="340"/>
      <c r="AE344" s="340"/>
      <c r="AF344" s="340"/>
    </row>
    <row r="345">
      <c r="A345" s="340"/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  <c r="AC345" s="340"/>
      <c r="AD345" s="340"/>
      <c r="AE345" s="340"/>
      <c r="AF345" s="340"/>
    </row>
    <row r="346">
      <c r="A346" s="340"/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  <c r="AC346" s="340"/>
      <c r="AD346" s="340"/>
      <c r="AE346" s="340"/>
      <c r="AF346" s="340"/>
    </row>
    <row r="347">
      <c r="A347" s="340"/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  <c r="AC347" s="340"/>
      <c r="AD347" s="340"/>
      <c r="AE347" s="340"/>
      <c r="AF347" s="340"/>
    </row>
    <row r="348">
      <c r="A348" s="340"/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  <c r="AC348" s="340"/>
      <c r="AD348" s="340"/>
      <c r="AE348" s="340"/>
      <c r="AF348" s="340"/>
    </row>
    <row r="349">
      <c r="A349" s="340"/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  <c r="AC349" s="340"/>
      <c r="AD349" s="340"/>
      <c r="AE349" s="340"/>
      <c r="AF349" s="340"/>
    </row>
    <row r="350">
      <c r="A350" s="340"/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  <c r="AC350" s="340"/>
      <c r="AD350" s="340"/>
      <c r="AE350" s="340"/>
      <c r="AF350" s="340"/>
    </row>
    <row r="351">
      <c r="A351" s="340"/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  <c r="AC351" s="340"/>
      <c r="AD351" s="340"/>
      <c r="AE351" s="340"/>
      <c r="AF351" s="340"/>
    </row>
    <row r="352">
      <c r="A352" s="340"/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  <c r="AC352" s="340"/>
      <c r="AD352" s="340"/>
      <c r="AE352" s="340"/>
      <c r="AF352" s="340"/>
    </row>
    <row r="353">
      <c r="A353" s="340"/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  <c r="AC353" s="340"/>
      <c r="AD353" s="340"/>
      <c r="AE353" s="340"/>
      <c r="AF353" s="340"/>
    </row>
    <row r="354">
      <c r="A354" s="340"/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  <c r="AC354" s="340"/>
      <c r="AD354" s="340"/>
      <c r="AE354" s="340"/>
      <c r="AF354" s="340"/>
    </row>
    <row r="355">
      <c r="A355" s="340"/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  <c r="AC355" s="340"/>
      <c r="AD355" s="340"/>
      <c r="AE355" s="340"/>
      <c r="AF355" s="340"/>
    </row>
    <row r="356">
      <c r="A356" s="340"/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  <c r="AC356" s="340"/>
      <c r="AD356" s="340"/>
      <c r="AE356" s="340"/>
      <c r="AF356" s="340"/>
    </row>
    <row r="357">
      <c r="A357" s="340"/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  <c r="AC357" s="340"/>
      <c r="AD357" s="340"/>
      <c r="AE357" s="340"/>
      <c r="AF357" s="340"/>
    </row>
    <row r="358">
      <c r="A358" s="340"/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  <c r="AC358" s="340"/>
      <c r="AD358" s="340"/>
      <c r="AE358" s="340"/>
      <c r="AF358" s="340"/>
    </row>
    <row r="359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  <c r="AC359" s="340"/>
      <c r="AD359" s="340"/>
      <c r="AE359" s="340"/>
      <c r="AF359" s="340"/>
    </row>
    <row r="360">
      <c r="A360" s="340"/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  <c r="AC360" s="340"/>
      <c r="AD360" s="340"/>
      <c r="AE360" s="340"/>
      <c r="AF360" s="340"/>
    </row>
    <row r="361">
      <c r="A361" s="340"/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  <c r="AC361" s="340"/>
      <c r="AD361" s="340"/>
      <c r="AE361" s="340"/>
      <c r="AF361" s="340"/>
    </row>
    <row r="362">
      <c r="A362" s="340"/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  <c r="AC362" s="340"/>
      <c r="AD362" s="340"/>
      <c r="AE362" s="340"/>
      <c r="AF362" s="340"/>
    </row>
    <row r="363">
      <c r="A363" s="340"/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  <c r="AC363" s="340"/>
      <c r="AD363" s="340"/>
      <c r="AE363" s="340"/>
      <c r="AF363" s="340"/>
    </row>
    <row r="364">
      <c r="A364" s="340"/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  <c r="AC364" s="340"/>
      <c r="AD364" s="340"/>
      <c r="AE364" s="340"/>
      <c r="AF364" s="340"/>
    </row>
    <row r="365">
      <c r="A365" s="340"/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  <c r="AC365" s="340"/>
      <c r="AD365" s="340"/>
      <c r="AE365" s="340"/>
      <c r="AF365" s="340"/>
    </row>
    <row r="366">
      <c r="A366" s="340"/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  <c r="AC366" s="340"/>
      <c r="AD366" s="340"/>
      <c r="AE366" s="340"/>
      <c r="AF366" s="340"/>
    </row>
    <row r="367">
      <c r="A367" s="340"/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  <c r="AC367" s="340"/>
      <c r="AD367" s="340"/>
      <c r="AE367" s="340"/>
      <c r="AF367" s="340"/>
    </row>
    <row r="368">
      <c r="A368" s="340"/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  <c r="AE368" s="340"/>
      <c r="AF368" s="340"/>
    </row>
    <row r="369">
      <c r="A369" s="340"/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  <c r="AC369" s="340"/>
      <c r="AD369" s="340"/>
      <c r="AE369" s="340"/>
      <c r="AF369" s="340"/>
    </row>
    <row r="370">
      <c r="A370" s="340"/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  <c r="AC370" s="340"/>
      <c r="AD370" s="340"/>
      <c r="AE370" s="340"/>
      <c r="AF370" s="340"/>
    </row>
    <row r="371">
      <c r="A371" s="340"/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  <c r="AC371" s="340"/>
      <c r="AD371" s="340"/>
      <c r="AE371" s="340"/>
      <c r="AF371" s="340"/>
    </row>
    <row r="372">
      <c r="A372" s="340"/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/>
      <c r="AE372" s="340"/>
      <c r="AF372" s="340"/>
    </row>
    <row r="373">
      <c r="A373" s="340"/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  <c r="AC373" s="340"/>
      <c r="AD373" s="340"/>
      <c r="AE373" s="340"/>
      <c r="AF373" s="340"/>
    </row>
    <row r="374">
      <c r="A374" s="340"/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  <c r="AE374" s="340"/>
      <c r="AF374" s="340"/>
    </row>
    <row r="375">
      <c r="A375" s="340"/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/>
      <c r="AE375" s="340"/>
      <c r="AF375" s="340"/>
    </row>
    <row r="376">
      <c r="A376" s="340"/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</row>
    <row r="377">
      <c r="A377" s="340"/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  <c r="AC377" s="340"/>
      <c r="AD377" s="340"/>
      <c r="AE377" s="340"/>
      <c r="AF377" s="340"/>
    </row>
    <row r="378">
      <c r="A378" s="340"/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  <c r="AC378" s="340"/>
      <c r="AD378" s="340"/>
      <c r="AE378" s="340"/>
      <c r="AF378" s="340"/>
    </row>
    <row r="379">
      <c r="A379" s="340"/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  <c r="AC379" s="340"/>
      <c r="AD379" s="340"/>
      <c r="AE379" s="340"/>
      <c r="AF379" s="340"/>
    </row>
    <row r="380">
      <c r="A380" s="340"/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  <c r="AC380" s="340"/>
      <c r="AD380" s="340"/>
      <c r="AE380" s="340"/>
      <c r="AF380" s="340"/>
    </row>
    <row r="381">
      <c r="A381" s="340"/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  <c r="AC381" s="340"/>
      <c r="AD381" s="340"/>
      <c r="AE381" s="340"/>
      <c r="AF381" s="340"/>
    </row>
    <row r="382">
      <c r="A382" s="340"/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  <c r="AC382" s="340"/>
      <c r="AD382" s="340"/>
      <c r="AE382" s="340"/>
      <c r="AF382" s="340"/>
    </row>
    <row r="383">
      <c r="A383" s="340"/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  <c r="AC383" s="340"/>
      <c r="AD383" s="340"/>
      <c r="AE383" s="340"/>
      <c r="AF383" s="340"/>
    </row>
    <row r="384">
      <c r="A384" s="340"/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  <c r="AC384" s="340"/>
      <c r="AD384" s="340"/>
      <c r="AE384" s="340"/>
      <c r="AF384" s="340"/>
    </row>
    <row r="385">
      <c r="A385" s="340"/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  <c r="AC385" s="340"/>
      <c r="AD385" s="340"/>
      <c r="AE385" s="340"/>
      <c r="AF385" s="340"/>
    </row>
    <row r="386">
      <c r="A386" s="340"/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  <c r="AC386" s="340"/>
      <c r="AD386" s="340"/>
      <c r="AE386" s="340"/>
      <c r="AF386" s="340"/>
    </row>
    <row r="387">
      <c r="A387" s="340"/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  <c r="AC387" s="340"/>
      <c r="AD387" s="340"/>
      <c r="AE387" s="340"/>
      <c r="AF387" s="340"/>
    </row>
    <row r="388">
      <c r="A388" s="340"/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  <c r="AC388" s="340"/>
      <c r="AD388" s="340"/>
      <c r="AE388" s="340"/>
      <c r="AF388" s="340"/>
    </row>
    <row r="389">
      <c r="A389" s="340"/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  <c r="AC389" s="340"/>
      <c r="AD389" s="340"/>
      <c r="AE389" s="340"/>
      <c r="AF389" s="340"/>
    </row>
    <row r="390">
      <c r="A390" s="340"/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  <c r="AC390" s="340"/>
      <c r="AD390" s="340"/>
      <c r="AE390" s="340"/>
      <c r="AF390" s="340"/>
    </row>
    <row r="391">
      <c r="A391" s="340"/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  <c r="AC391" s="340"/>
      <c r="AD391" s="340"/>
      <c r="AE391" s="340"/>
      <c r="AF391" s="340"/>
    </row>
    <row r="392">
      <c r="A392" s="340"/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  <c r="AC392" s="340"/>
      <c r="AD392" s="340"/>
      <c r="AE392" s="340"/>
      <c r="AF392" s="340"/>
    </row>
    <row r="393">
      <c r="A393" s="340"/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  <c r="AC393" s="340"/>
      <c r="AD393" s="340"/>
      <c r="AE393" s="340"/>
      <c r="AF393" s="340"/>
    </row>
    <row r="394">
      <c r="A394" s="340"/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  <c r="AC394" s="340"/>
      <c r="AD394" s="340"/>
      <c r="AE394" s="340"/>
      <c r="AF394" s="340"/>
    </row>
    <row r="395">
      <c r="A395" s="340"/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  <c r="AE395" s="340"/>
      <c r="AF395" s="340"/>
    </row>
    <row r="396">
      <c r="A396" s="340"/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  <c r="AC396" s="340"/>
      <c r="AD396" s="340"/>
      <c r="AE396" s="340"/>
      <c r="AF396" s="340"/>
    </row>
    <row r="397">
      <c r="A397" s="340"/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  <c r="AC397" s="340"/>
      <c r="AD397" s="340"/>
      <c r="AE397" s="340"/>
      <c r="AF397" s="340"/>
    </row>
    <row r="398">
      <c r="A398" s="340"/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  <c r="AC398" s="340"/>
      <c r="AD398" s="340"/>
      <c r="AE398" s="340"/>
      <c r="AF398" s="340"/>
    </row>
    <row r="399">
      <c r="A399" s="340"/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  <c r="AC399" s="340"/>
      <c r="AD399" s="340"/>
      <c r="AE399" s="340"/>
      <c r="AF399" s="340"/>
    </row>
    <row r="400">
      <c r="A400" s="340"/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  <c r="AC400" s="340"/>
      <c r="AD400" s="340"/>
      <c r="AE400" s="340"/>
      <c r="AF400" s="340"/>
    </row>
    <row r="401">
      <c r="A401" s="340"/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  <c r="AC401" s="340"/>
      <c r="AD401" s="340"/>
      <c r="AE401" s="340"/>
      <c r="AF401" s="340"/>
    </row>
    <row r="402">
      <c r="A402" s="340"/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  <c r="AC402" s="340"/>
      <c r="AD402" s="340"/>
      <c r="AE402" s="340"/>
      <c r="AF402" s="340"/>
    </row>
    <row r="403">
      <c r="A403" s="340"/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  <c r="AC403" s="340"/>
      <c r="AD403" s="340"/>
      <c r="AE403" s="340"/>
      <c r="AF403" s="340"/>
    </row>
    <row r="404">
      <c r="A404" s="340"/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  <c r="AC404" s="340"/>
      <c r="AD404" s="340"/>
      <c r="AE404" s="340"/>
      <c r="AF404" s="340"/>
    </row>
    <row r="405">
      <c r="A405" s="340"/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  <c r="AC405" s="340"/>
      <c r="AD405" s="340"/>
      <c r="AE405" s="340"/>
      <c r="AF405" s="340"/>
    </row>
    <row r="406">
      <c r="A406" s="340"/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  <c r="AC406" s="340"/>
      <c r="AD406" s="340"/>
      <c r="AE406" s="340"/>
      <c r="AF406" s="340"/>
    </row>
    <row r="407">
      <c r="A407" s="340"/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  <c r="AC407" s="340"/>
      <c r="AD407" s="340"/>
      <c r="AE407" s="340"/>
      <c r="AF407" s="340"/>
    </row>
    <row r="408">
      <c r="A408" s="340"/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  <c r="AC408" s="340"/>
      <c r="AD408" s="340"/>
      <c r="AE408" s="340"/>
      <c r="AF408" s="340"/>
    </row>
    <row r="409">
      <c r="A409" s="340"/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  <c r="AC409" s="340"/>
      <c r="AD409" s="340"/>
      <c r="AE409" s="340"/>
      <c r="AF409" s="340"/>
    </row>
    <row r="410">
      <c r="A410" s="340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  <c r="AC410" s="340"/>
      <c r="AD410" s="340"/>
      <c r="AE410" s="340"/>
      <c r="AF410" s="340"/>
    </row>
    <row r="411">
      <c r="A411" s="340"/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  <c r="AC411" s="340"/>
      <c r="AD411" s="340"/>
      <c r="AE411" s="340"/>
      <c r="AF411" s="340"/>
    </row>
    <row r="412">
      <c r="A412" s="340"/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  <c r="AC412" s="340"/>
      <c r="AD412" s="340"/>
      <c r="AE412" s="340"/>
      <c r="AF412" s="340"/>
    </row>
    <row r="413">
      <c r="A413" s="340"/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  <c r="AC413" s="340"/>
      <c r="AD413" s="340"/>
      <c r="AE413" s="340"/>
      <c r="AF413" s="340"/>
    </row>
    <row r="414">
      <c r="A414" s="340"/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  <c r="AC414" s="340"/>
      <c r="AD414" s="340"/>
      <c r="AE414" s="340"/>
      <c r="AF414" s="340"/>
    </row>
    <row r="415">
      <c r="A415" s="340"/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  <c r="AC415" s="340"/>
      <c r="AD415" s="340"/>
      <c r="AE415" s="340"/>
      <c r="AF415" s="340"/>
    </row>
    <row r="416">
      <c r="A416" s="340"/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  <c r="AC416" s="340"/>
      <c r="AD416" s="340"/>
      <c r="AE416" s="340"/>
      <c r="AF416" s="340"/>
    </row>
    <row r="417">
      <c r="A417" s="340"/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  <c r="AC417" s="340"/>
      <c r="AD417" s="340"/>
      <c r="AE417" s="340"/>
      <c r="AF417" s="340"/>
    </row>
    <row r="418">
      <c r="A418" s="340"/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  <c r="AC418" s="340"/>
      <c r="AD418" s="340"/>
      <c r="AE418" s="340"/>
      <c r="AF418" s="340"/>
    </row>
    <row r="419">
      <c r="A419" s="340"/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  <c r="AC419" s="340"/>
      <c r="AD419" s="340"/>
      <c r="AE419" s="340"/>
      <c r="AF419" s="340"/>
    </row>
    <row r="420">
      <c r="A420" s="340"/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  <c r="AC420" s="340"/>
      <c r="AD420" s="340"/>
      <c r="AE420" s="340"/>
      <c r="AF420" s="340"/>
    </row>
    <row r="421">
      <c r="A421" s="340"/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  <c r="AC421" s="340"/>
      <c r="AD421" s="340"/>
      <c r="AE421" s="340"/>
      <c r="AF421" s="340"/>
    </row>
    <row r="422">
      <c r="A422" s="340"/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  <c r="AC422" s="340"/>
      <c r="AD422" s="340"/>
      <c r="AE422" s="340"/>
      <c r="AF422" s="340"/>
    </row>
    <row r="423">
      <c r="A423" s="340"/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  <c r="AC423" s="340"/>
      <c r="AD423" s="340"/>
      <c r="AE423" s="340"/>
      <c r="AF423" s="340"/>
    </row>
    <row r="424">
      <c r="A424" s="340"/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  <c r="AC424" s="340"/>
      <c r="AD424" s="340"/>
      <c r="AE424" s="340"/>
      <c r="AF424" s="340"/>
    </row>
    <row r="425">
      <c r="A425" s="340"/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  <c r="AC425" s="340"/>
      <c r="AD425" s="340"/>
      <c r="AE425" s="340"/>
      <c r="AF425" s="340"/>
    </row>
    <row r="426">
      <c r="A426" s="340"/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  <c r="AC426" s="340"/>
      <c r="AD426" s="340"/>
      <c r="AE426" s="340"/>
      <c r="AF426" s="340"/>
    </row>
    <row r="427">
      <c r="A427" s="340"/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  <c r="AC427" s="340"/>
      <c r="AD427" s="340"/>
      <c r="AE427" s="340"/>
      <c r="AF427" s="340"/>
    </row>
    <row r="428">
      <c r="A428" s="340"/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  <c r="AC428" s="340"/>
      <c r="AD428" s="340"/>
      <c r="AE428" s="340"/>
      <c r="AF428" s="340"/>
    </row>
    <row r="429">
      <c r="A429" s="340"/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  <c r="AC429" s="340"/>
      <c r="AD429" s="340"/>
      <c r="AE429" s="340"/>
      <c r="AF429" s="340"/>
    </row>
    <row r="430">
      <c r="A430" s="340"/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  <c r="AC430" s="340"/>
      <c r="AD430" s="340"/>
      <c r="AE430" s="340"/>
      <c r="AF430" s="340"/>
    </row>
    <row r="431">
      <c r="A431" s="340"/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  <c r="AC431" s="340"/>
      <c r="AD431" s="340"/>
      <c r="AE431" s="340"/>
      <c r="AF431" s="340"/>
    </row>
    <row r="432">
      <c r="A432" s="340"/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  <c r="AC432" s="340"/>
      <c r="AD432" s="340"/>
      <c r="AE432" s="340"/>
      <c r="AF432" s="340"/>
    </row>
    <row r="433">
      <c r="A433" s="340"/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  <c r="AC433" s="340"/>
      <c r="AD433" s="340"/>
      <c r="AE433" s="340"/>
      <c r="AF433" s="340"/>
    </row>
    <row r="434">
      <c r="A434" s="340"/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  <c r="AC434" s="340"/>
      <c r="AD434" s="340"/>
      <c r="AE434" s="340"/>
      <c r="AF434" s="340"/>
    </row>
    <row r="435">
      <c r="A435" s="340"/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  <c r="AC435" s="340"/>
      <c r="AD435" s="340"/>
      <c r="AE435" s="340"/>
      <c r="AF435" s="340"/>
    </row>
    <row r="436">
      <c r="A436" s="340"/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  <c r="AC436" s="340"/>
      <c r="AD436" s="340"/>
      <c r="AE436" s="340"/>
      <c r="AF436" s="340"/>
    </row>
    <row r="437">
      <c r="A437" s="340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  <c r="AC437" s="340"/>
      <c r="AD437" s="340"/>
      <c r="AE437" s="340"/>
      <c r="AF437" s="340"/>
    </row>
    <row r="438">
      <c r="A438" s="340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  <c r="AC438" s="340"/>
      <c r="AD438" s="340"/>
      <c r="AE438" s="340"/>
      <c r="AF438" s="340"/>
    </row>
    <row r="439">
      <c r="A439" s="340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  <c r="AC439" s="340"/>
      <c r="AD439" s="340"/>
      <c r="AE439" s="340"/>
      <c r="AF439" s="340"/>
    </row>
    <row r="440">
      <c r="A440" s="340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  <c r="AC440" s="340"/>
      <c r="AD440" s="340"/>
      <c r="AE440" s="340"/>
      <c r="AF440" s="340"/>
    </row>
    <row r="441">
      <c r="A441" s="340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  <c r="AC441" s="340"/>
      <c r="AD441" s="340"/>
      <c r="AE441" s="340"/>
      <c r="AF441" s="340"/>
    </row>
    <row r="442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  <c r="AC442" s="340"/>
      <c r="AD442" s="340"/>
      <c r="AE442" s="340"/>
      <c r="AF442" s="340"/>
    </row>
    <row r="443">
      <c r="A443" s="340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  <c r="AC443" s="340"/>
      <c r="AD443" s="340"/>
      <c r="AE443" s="340"/>
      <c r="AF443" s="340"/>
    </row>
    <row r="444">
      <c r="A444" s="340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  <c r="AC444" s="340"/>
      <c r="AD444" s="340"/>
      <c r="AE444" s="340"/>
      <c r="AF444" s="340"/>
    </row>
    <row r="445">
      <c r="A445" s="340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  <c r="AC445" s="340"/>
      <c r="AD445" s="340"/>
      <c r="AE445" s="340"/>
      <c r="AF445" s="340"/>
    </row>
    <row r="446">
      <c r="A446" s="340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  <c r="AC446" s="340"/>
      <c r="AD446" s="340"/>
      <c r="AE446" s="340"/>
      <c r="AF446" s="340"/>
    </row>
    <row r="447">
      <c r="A447" s="340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  <c r="AC447" s="340"/>
      <c r="AD447" s="340"/>
      <c r="AE447" s="340"/>
      <c r="AF447" s="340"/>
    </row>
    <row r="448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  <c r="AC448" s="340"/>
      <c r="AD448" s="340"/>
      <c r="AE448" s="340"/>
      <c r="AF448" s="340"/>
    </row>
    <row r="449">
      <c r="A449" s="340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  <c r="AC449" s="340"/>
      <c r="AD449" s="340"/>
      <c r="AE449" s="340"/>
      <c r="AF449" s="340"/>
    </row>
    <row r="450">
      <c r="A450" s="340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  <c r="AC450" s="340"/>
      <c r="AD450" s="340"/>
      <c r="AE450" s="340"/>
      <c r="AF450" s="340"/>
    </row>
    <row r="451">
      <c r="A451" s="340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  <c r="AC451" s="340"/>
      <c r="AD451" s="340"/>
      <c r="AE451" s="340"/>
      <c r="AF451" s="340"/>
    </row>
    <row r="452">
      <c r="A452" s="340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  <c r="AC452" s="340"/>
      <c r="AD452" s="340"/>
      <c r="AE452" s="340"/>
      <c r="AF452" s="340"/>
    </row>
    <row r="453">
      <c r="A453" s="340"/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  <c r="AC453" s="340"/>
      <c r="AD453" s="340"/>
      <c r="AE453" s="340"/>
      <c r="AF453" s="340"/>
    </row>
    <row r="454">
      <c r="A454" s="340"/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  <c r="AC454" s="340"/>
      <c r="AD454" s="340"/>
      <c r="AE454" s="340"/>
      <c r="AF454" s="340"/>
    </row>
    <row r="455">
      <c r="A455" s="340"/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  <c r="AC455" s="340"/>
      <c r="AD455" s="340"/>
      <c r="AE455" s="340"/>
      <c r="AF455" s="340"/>
    </row>
    <row r="456">
      <c r="A456" s="340"/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  <c r="AE456" s="340"/>
      <c r="AF456" s="340"/>
    </row>
    <row r="457">
      <c r="A457" s="340"/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  <c r="AC457" s="340"/>
      <c r="AD457" s="340"/>
      <c r="AE457" s="340"/>
      <c r="AF457" s="340"/>
    </row>
    <row r="458">
      <c r="A458" s="340"/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  <c r="AC458" s="340"/>
      <c r="AD458" s="340"/>
      <c r="AE458" s="340"/>
      <c r="AF458" s="340"/>
    </row>
    <row r="459">
      <c r="A459" s="340"/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  <c r="AC459" s="340"/>
      <c r="AD459" s="340"/>
      <c r="AE459" s="340"/>
      <c r="AF459" s="340"/>
    </row>
    <row r="460">
      <c r="A460" s="340"/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  <c r="AC460" s="340"/>
      <c r="AD460" s="340"/>
      <c r="AE460" s="340"/>
      <c r="AF460" s="340"/>
    </row>
    <row r="461">
      <c r="A461" s="340"/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  <c r="AC461" s="340"/>
      <c r="AD461" s="340"/>
      <c r="AE461" s="340"/>
      <c r="AF461" s="340"/>
    </row>
    <row r="462">
      <c r="A462" s="340"/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  <c r="AC462" s="340"/>
      <c r="AD462" s="340"/>
      <c r="AE462" s="340"/>
      <c r="AF462" s="340"/>
    </row>
    <row r="463">
      <c r="A463" s="340"/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  <c r="AC463" s="340"/>
      <c r="AD463" s="340"/>
      <c r="AE463" s="340"/>
      <c r="AF463" s="340"/>
    </row>
    <row r="464">
      <c r="A464" s="340"/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  <c r="AE464" s="340"/>
      <c r="AF464" s="340"/>
    </row>
    <row r="465">
      <c r="A465" s="340"/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  <c r="AE465" s="340"/>
      <c r="AF465" s="340"/>
    </row>
    <row r="466">
      <c r="A466" s="340"/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  <c r="AE466" s="340"/>
      <c r="AF466" s="340"/>
    </row>
    <row r="467">
      <c r="A467" s="340"/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  <c r="AE467" s="340"/>
      <c r="AF467" s="340"/>
    </row>
    <row r="468">
      <c r="A468" s="340"/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  <c r="AE468" s="340"/>
      <c r="AF468" s="340"/>
    </row>
    <row r="469">
      <c r="A469" s="340"/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  <c r="AE469" s="340"/>
      <c r="AF469" s="340"/>
    </row>
    <row r="470">
      <c r="A470" s="340"/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  <c r="AE470" s="340"/>
      <c r="AF470" s="340"/>
    </row>
    <row r="471">
      <c r="A471" s="340"/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  <c r="AE471" s="340"/>
      <c r="AF471" s="340"/>
    </row>
    <row r="472">
      <c r="A472" s="340"/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  <c r="AE472" s="340"/>
      <c r="AF472" s="340"/>
    </row>
    <row r="473">
      <c r="A473" s="340"/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</row>
    <row r="474">
      <c r="A474" s="340"/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</row>
    <row r="475">
      <c r="A475" s="340"/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</row>
    <row r="476">
      <c r="A476" s="340"/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</row>
    <row r="477">
      <c r="A477" s="340"/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</row>
    <row r="478">
      <c r="A478" s="340"/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</row>
    <row r="479">
      <c r="A479" s="340"/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</row>
    <row r="480">
      <c r="A480" s="340"/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</row>
    <row r="481">
      <c r="A481" s="340"/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</row>
    <row r="482">
      <c r="A482" s="340"/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</row>
    <row r="483">
      <c r="A483" s="340"/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</row>
    <row r="484">
      <c r="A484" s="340"/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</row>
    <row r="485">
      <c r="A485" s="340"/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</row>
    <row r="486">
      <c r="A486" s="340"/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</row>
    <row r="487">
      <c r="A487" s="340"/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</row>
    <row r="488">
      <c r="A488" s="340"/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</row>
    <row r="489">
      <c r="A489" s="340"/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</row>
    <row r="490">
      <c r="A490" s="340"/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</row>
    <row r="491">
      <c r="A491" s="340"/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</row>
    <row r="492">
      <c r="A492" s="340"/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</row>
    <row r="493">
      <c r="A493" s="340"/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</row>
    <row r="494">
      <c r="A494" s="340"/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</row>
    <row r="495">
      <c r="A495" s="340"/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</row>
    <row r="496">
      <c r="A496" s="340"/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</row>
    <row r="497">
      <c r="A497" s="340"/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</row>
    <row r="498">
      <c r="A498" s="340"/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</row>
    <row r="499">
      <c r="A499" s="340"/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</row>
    <row r="500">
      <c r="A500" s="340"/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</row>
    <row r="501">
      <c r="A501" s="340"/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</row>
    <row r="502">
      <c r="A502" s="340"/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</row>
    <row r="503">
      <c r="A503" s="340"/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</row>
    <row r="504">
      <c r="A504" s="340"/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</row>
    <row r="505">
      <c r="A505" s="340"/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</row>
    <row r="506">
      <c r="A506" s="340"/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</row>
    <row r="507">
      <c r="A507" s="340"/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</row>
    <row r="508">
      <c r="A508" s="340"/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</row>
    <row r="509">
      <c r="A509" s="340"/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</row>
    <row r="510">
      <c r="A510" s="340"/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</row>
    <row r="511">
      <c r="A511" s="340"/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</row>
    <row r="512">
      <c r="A512" s="340"/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</row>
    <row r="513">
      <c r="A513" s="340"/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</row>
    <row r="514">
      <c r="A514" s="340"/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</row>
    <row r="515">
      <c r="A515" s="340"/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</row>
    <row r="516">
      <c r="A516" s="340"/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</row>
    <row r="517">
      <c r="A517" s="340"/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</row>
    <row r="518">
      <c r="A518" s="340"/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</row>
    <row r="519">
      <c r="A519" s="340"/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</row>
    <row r="520">
      <c r="A520" s="340"/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</row>
    <row r="521">
      <c r="A521" s="340"/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</row>
    <row r="522">
      <c r="A522" s="340"/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</row>
    <row r="523">
      <c r="A523" s="340"/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</row>
    <row r="524">
      <c r="A524" s="340"/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</row>
    <row r="525">
      <c r="A525" s="340"/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</row>
    <row r="526">
      <c r="A526" s="340"/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</row>
    <row r="527">
      <c r="A527" s="340"/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</row>
    <row r="528">
      <c r="A528" s="340"/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</row>
    <row r="529">
      <c r="A529" s="340"/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</row>
    <row r="530">
      <c r="A530" s="340"/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</row>
    <row r="531">
      <c r="A531" s="340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</row>
    <row r="532">
      <c r="A532" s="340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</row>
    <row r="533">
      <c r="A533" s="340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</row>
    <row r="534">
      <c r="A534" s="340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</row>
    <row r="535">
      <c r="A535" s="340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</row>
    <row r="536">
      <c r="A536" s="340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</row>
    <row r="537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</row>
    <row r="538">
      <c r="A538" s="340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</row>
    <row r="539">
      <c r="A539" s="340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</row>
    <row r="540">
      <c r="A540" s="340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</row>
    <row r="541">
      <c r="A541" s="340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</row>
    <row r="542">
      <c r="A542" s="340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</row>
    <row r="543">
      <c r="A543" s="340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</row>
    <row r="544">
      <c r="A544" s="340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</row>
    <row r="545">
      <c r="A545" s="340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</row>
    <row r="546">
      <c r="A546" s="340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</row>
    <row r="547">
      <c r="A547" s="340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</row>
    <row r="548">
      <c r="A548" s="340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</row>
    <row r="549">
      <c r="A549" s="340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</row>
    <row r="550">
      <c r="A550" s="340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</row>
    <row r="551">
      <c r="A551" s="340"/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</row>
    <row r="552">
      <c r="A552" s="340"/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</row>
    <row r="553">
      <c r="A553" s="340"/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</row>
    <row r="554">
      <c r="A554" s="340"/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</row>
    <row r="555">
      <c r="A555" s="340"/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</row>
    <row r="556">
      <c r="A556" s="340"/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</row>
    <row r="557">
      <c r="A557" s="340"/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</row>
    <row r="558">
      <c r="A558" s="340"/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</row>
    <row r="559">
      <c r="A559" s="340"/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</row>
    <row r="560">
      <c r="A560" s="340"/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</row>
    <row r="561">
      <c r="A561" s="340"/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</row>
    <row r="562">
      <c r="A562" s="340"/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</row>
    <row r="563">
      <c r="A563" s="340"/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</row>
    <row r="564">
      <c r="A564" s="340"/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</row>
    <row r="565">
      <c r="A565" s="340"/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</row>
    <row r="566">
      <c r="A566" s="340"/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</row>
    <row r="567">
      <c r="A567" s="340"/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</row>
    <row r="568">
      <c r="A568" s="340"/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</row>
    <row r="569">
      <c r="A569" s="340"/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</row>
    <row r="570">
      <c r="A570" s="340"/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</row>
    <row r="571">
      <c r="A571" s="340"/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</row>
    <row r="572">
      <c r="A572" s="340"/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</row>
    <row r="573">
      <c r="A573" s="340"/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</row>
    <row r="574">
      <c r="A574" s="340"/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</row>
    <row r="575">
      <c r="A575" s="340"/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</row>
    <row r="576">
      <c r="A576" s="340"/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</row>
    <row r="577">
      <c r="A577" s="340"/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</row>
    <row r="578">
      <c r="A578" s="340"/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</row>
    <row r="579">
      <c r="A579" s="340"/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</row>
    <row r="580">
      <c r="A580" s="340"/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</row>
    <row r="581">
      <c r="A581" s="340"/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</row>
    <row r="582">
      <c r="A582" s="340"/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</row>
    <row r="583">
      <c r="A583" s="340"/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</row>
    <row r="584">
      <c r="A584" s="340"/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</row>
    <row r="585">
      <c r="A585" s="340"/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</row>
    <row r="586">
      <c r="A586" s="340"/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</row>
    <row r="587">
      <c r="A587" s="340"/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</row>
    <row r="588">
      <c r="A588" s="340"/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</row>
    <row r="589">
      <c r="A589" s="340"/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</row>
    <row r="590">
      <c r="A590" s="340"/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</row>
    <row r="591">
      <c r="A591" s="340"/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</row>
    <row r="592">
      <c r="A592" s="340"/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</row>
    <row r="593">
      <c r="A593" s="340"/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</row>
    <row r="594">
      <c r="A594" s="340"/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</row>
    <row r="595">
      <c r="A595" s="340"/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</row>
    <row r="596">
      <c r="A596" s="340"/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</row>
    <row r="597">
      <c r="A597" s="340"/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</row>
    <row r="598">
      <c r="A598" s="340"/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</row>
    <row r="599">
      <c r="A599" s="340"/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</row>
    <row r="600">
      <c r="A600" s="340"/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</row>
    <row r="601">
      <c r="A601" s="340"/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</row>
    <row r="602">
      <c r="A602" s="340"/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</row>
    <row r="603">
      <c r="A603" s="340"/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</row>
    <row r="604">
      <c r="A604" s="340"/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</row>
    <row r="605">
      <c r="A605" s="340"/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</row>
    <row r="606">
      <c r="A606" s="340"/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</row>
    <row r="607">
      <c r="A607" s="340"/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</row>
    <row r="608">
      <c r="A608" s="340"/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</row>
    <row r="609">
      <c r="A609" s="340"/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</row>
    <row r="610">
      <c r="A610" s="340"/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</row>
    <row r="611">
      <c r="A611" s="340"/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</row>
    <row r="612">
      <c r="A612" s="340"/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</row>
    <row r="613">
      <c r="A613" s="340"/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</row>
    <row r="614">
      <c r="A614" s="340"/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</row>
    <row r="615">
      <c r="A615" s="340"/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</row>
    <row r="616">
      <c r="A616" s="340"/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</row>
    <row r="617">
      <c r="A617" s="340"/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</row>
    <row r="618">
      <c r="A618" s="340"/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</row>
    <row r="619">
      <c r="A619" s="340"/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</row>
    <row r="620">
      <c r="A620" s="340"/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</row>
    <row r="621">
      <c r="A621" s="340"/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</row>
    <row r="622">
      <c r="A622" s="340"/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</row>
    <row r="623">
      <c r="A623" s="340"/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</row>
    <row r="624">
      <c r="A624" s="340"/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</row>
    <row r="625">
      <c r="A625" s="340"/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</row>
    <row r="626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</row>
    <row r="627">
      <c r="A627" s="340"/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</row>
    <row r="628">
      <c r="A628" s="340"/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</row>
    <row r="629">
      <c r="A629" s="340"/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</row>
    <row r="630">
      <c r="A630" s="340"/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</row>
    <row r="631">
      <c r="A631" s="340"/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</row>
    <row r="632">
      <c r="A632" s="340"/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</row>
    <row r="633">
      <c r="A633" s="340"/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</row>
    <row r="634">
      <c r="A634" s="340"/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</row>
    <row r="635">
      <c r="A635" s="340"/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</row>
    <row r="636">
      <c r="A636" s="340"/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</row>
    <row r="637">
      <c r="A637" s="340"/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</row>
    <row r="638">
      <c r="A638" s="340"/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</row>
    <row r="639">
      <c r="A639" s="340"/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</row>
    <row r="640">
      <c r="A640" s="340"/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</row>
    <row r="641">
      <c r="A641" s="340"/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</row>
    <row r="642">
      <c r="A642" s="340"/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</row>
    <row r="643">
      <c r="A643" s="340"/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</row>
    <row r="644">
      <c r="A644" s="340"/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</row>
    <row r="645">
      <c r="A645" s="340"/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</row>
    <row r="646">
      <c r="A646" s="340"/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</row>
    <row r="647">
      <c r="A647" s="340"/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</row>
    <row r="648">
      <c r="A648" s="340"/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</row>
    <row r="649">
      <c r="A649" s="340"/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</row>
    <row r="650">
      <c r="A650" s="340"/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</row>
    <row r="651">
      <c r="A651" s="340"/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</row>
    <row r="652">
      <c r="A652" s="340"/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</row>
    <row r="653">
      <c r="A653" s="340"/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</row>
    <row r="654">
      <c r="A654" s="340"/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</row>
    <row r="655">
      <c r="A655" s="340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</row>
    <row r="656">
      <c r="A656" s="340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</row>
    <row r="657">
      <c r="A657" s="340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</row>
    <row r="658">
      <c r="A658" s="340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</row>
    <row r="659">
      <c r="A659" s="340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</row>
    <row r="660">
      <c r="A660" s="340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</row>
    <row r="661">
      <c r="A661" s="340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</row>
    <row r="662">
      <c r="A662" s="340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</row>
    <row r="663">
      <c r="A663" s="340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</row>
    <row r="664">
      <c r="A664" s="340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</row>
    <row r="665">
      <c r="A665" s="340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</row>
    <row r="666">
      <c r="A666" s="340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</row>
    <row r="667">
      <c r="A667" s="340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</row>
    <row r="668">
      <c r="A668" s="340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</row>
    <row r="669">
      <c r="A669" s="340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</row>
    <row r="670">
      <c r="A670" s="340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</row>
    <row r="671">
      <c r="A671" s="340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</row>
    <row r="672">
      <c r="A672" s="340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</row>
    <row r="673">
      <c r="A673" s="340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</row>
    <row r="674">
      <c r="A674" s="340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</row>
    <row r="675">
      <c r="A675" s="340"/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</row>
    <row r="676">
      <c r="A676" s="340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</row>
    <row r="677">
      <c r="A677" s="340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</row>
    <row r="678">
      <c r="A678" s="340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</row>
    <row r="679">
      <c r="A679" s="340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</row>
    <row r="680">
      <c r="A680" s="340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</row>
    <row r="681">
      <c r="A681" s="340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</row>
    <row r="682">
      <c r="A682" s="340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</row>
    <row r="683">
      <c r="A683" s="340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</row>
    <row r="684">
      <c r="A684" s="340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</row>
    <row r="685">
      <c r="A685" s="340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</row>
    <row r="686">
      <c r="A686" s="340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</row>
    <row r="687">
      <c r="A687" s="340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</row>
    <row r="688">
      <c r="A688" s="340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</row>
    <row r="689">
      <c r="A689" s="340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</row>
    <row r="690">
      <c r="A690" s="340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</row>
    <row r="691">
      <c r="A691" s="340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</row>
    <row r="692">
      <c r="A692" s="340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</row>
    <row r="693">
      <c r="A693" s="340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</row>
    <row r="694">
      <c r="A694" s="340"/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</row>
    <row r="695">
      <c r="A695" s="340"/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</row>
    <row r="696">
      <c r="A696" s="340"/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</row>
    <row r="697">
      <c r="A697" s="340"/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</row>
    <row r="698">
      <c r="A698" s="340"/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</row>
    <row r="699">
      <c r="A699" s="340"/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</row>
    <row r="700">
      <c r="A700" s="340"/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</row>
    <row r="701">
      <c r="A701" s="340"/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</row>
    <row r="702">
      <c r="A702" s="340"/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</row>
    <row r="703">
      <c r="A703" s="340"/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</row>
    <row r="704">
      <c r="A704" s="340"/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</row>
    <row r="705">
      <c r="A705" s="340"/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</row>
    <row r="706">
      <c r="A706" s="340"/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</row>
    <row r="707">
      <c r="A707" s="340"/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</row>
    <row r="708">
      <c r="A708" s="340"/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</row>
    <row r="709">
      <c r="A709" s="340"/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</row>
    <row r="710">
      <c r="A710" s="340"/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</row>
    <row r="711">
      <c r="A711" s="340"/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</row>
    <row r="712">
      <c r="A712" s="340"/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</row>
    <row r="713">
      <c r="A713" s="340"/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</row>
    <row r="714">
      <c r="A714" s="340"/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</row>
    <row r="715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</row>
    <row r="716">
      <c r="A716" s="340"/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</row>
    <row r="717">
      <c r="A717" s="340"/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</row>
    <row r="718">
      <c r="A718" s="340"/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</row>
    <row r="719">
      <c r="A719" s="340"/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</row>
    <row r="720">
      <c r="A720" s="340"/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</row>
    <row r="721">
      <c r="A721" s="340"/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</row>
    <row r="722">
      <c r="A722" s="340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</row>
    <row r="723">
      <c r="A723" s="340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</row>
    <row r="724">
      <c r="A724" s="340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</row>
    <row r="725">
      <c r="A725" s="340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</row>
    <row r="726">
      <c r="A726" s="340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</row>
    <row r="727">
      <c r="A727" s="340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</row>
    <row r="728">
      <c r="A728" s="340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</row>
    <row r="729">
      <c r="A729" s="340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</row>
    <row r="730">
      <c r="A730" s="340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</row>
    <row r="731">
      <c r="A731" s="340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</row>
    <row r="732">
      <c r="A732" s="340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</row>
    <row r="733">
      <c r="A733" s="340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</row>
    <row r="734">
      <c r="A734" s="340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</row>
    <row r="735">
      <c r="A735" s="340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</row>
    <row r="736">
      <c r="A736" s="340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</row>
    <row r="737">
      <c r="A737" s="340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</row>
    <row r="738">
      <c r="A738" s="340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</row>
    <row r="739">
      <c r="A739" s="340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</row>
    <row r="740">
      <c r="A740" s="340"/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</row>
    <row r="741">
      <c r="A741" s="340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</row>
    <row r="742">
      <c r="A742" s="340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</row>
    <row r="743">
      <c r="A743" s="340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</row>
    <row r="744">
      <c r="A744" s="340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</row>
    <row r="745">
      <c r="A745" s="340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</row>
    <row r="746">
      <c r="A746" s="340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</row>
    <row r="747">
      <c r="A747" s="340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</row>
    <row r="748">
      <c r="A748" s="340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</row>
    <row r="749">
      <c r="A749" s="340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</row>
    <row r="750">
      <c r="A750" s="340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</row>
    <row r="751">
      <c r="A751" s="340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</row>
    <row r="752">
      <c r="A752" s="340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</row>
    <row r="753">
      <c r="A753" s="340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</row>
    <row r="754">
      <c r="A754" s="340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</row>
    <row r="755">
      <c r="A755" s="340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</row>
    <row r="756">
      <c r="A756" s="340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</row>
    <row r="757">
      <c r="A757" s="340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</row>
    <row r="758">
      <c r="A758" s="340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</row>
    <row r="759">
      <c r="A759" s="340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</row>
    <row r="760">
      <c r="A760" s="340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</row>
    <row r="761">
      <c r="A761" s="340"/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</row>
    <row r="762">
      <c r="A762" s="340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</row>
    <row r="763">
      <c r="A763" s="340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</row>
    <row r="764">
      <c r="A764" s="340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</row>
    <row r="765">
      <c r="A765" s="340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</row>
    <row r="766">
      <c r="A766" s="340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</row>
    <row r="767">
      <c r="A767" s="340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</row>
    <row r="768">
      <c r="A768" s="340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</row>
    <row r="769">
      <c r="A769" s="340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</row>
    <row r="770">
      <c r="A770" s="340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</row>
    <row r="771">
      <c r="A771" s="340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</row>
    <row r="772">
      <c r="A772" s="340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</row>
    <row r="773">
      <c r="A773" s="340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</row>
    <row r="774">
      <c r="A774" s="340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</row>
    <row r="775">
      <c r="A775" s="340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</row>
    <row r="776">
      <c r="A776" s="340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</row>
    <row r="777">
      <c r="A777" s="340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</row>
    <row r="778">
      <c r="A778" s="340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</row>
    <row r="779">
      <c r="A779" s="340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</row>
    <row r="780">
      <c r="A780" s="340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</row>
    <row r="781">
      <c r="A781" s="340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</row>
    <row r="782">
      <c r="A782" s="340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</row>
    <row r="783">
      <c r="A783" s="340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</row>
    <row r="784">
      <c r="A784" s="340"/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</row>
    <row r="785">
      <c r="A785" s="340"/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</row>
    <row r="786">
      <c r="A786" s="340"/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</row>
    <row r="787">
      <c r="A787" s="340"/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</row>
    <row r="788">
      <c r="A788" s="340"/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</row>
    <row r="789">
      <c r="A789" s="340"/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</row>
    <row r="790">
      <c r="A790" s="340"/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</row>
    <row r="791">
      <c r="A791" s="340"/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</row>
    <row r="792">
      <c r="A792" s="340"/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</row>
    <row r="793">
      <c r="A793" s="340"/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</row>
    <row r="794">
      <c r="A794" s="340"/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</row>
    <row r="795">
      <c r="A795" s="340"/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</row>
    <row r="796">
      <c r="A796" s="340"/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</row>
    <row r="797">
      <c r="A797" s="340"/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</row>
    <row r="798">
      <c r="A798" s="340"/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</row>
    <row r="799">
      <c r="A799" s="340"/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</row>
    <row r="800">
      <c r="A800" s="340"/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</row>
    <row r="801">
      <c r="A801" s="340"/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</row>
    <row r="802">
      <c r="A802" s="340"/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</row>
    <row r="803">
      <c r="A803" s="340"/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</row>
    <row r="804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</row>
    <row r="805">
      <c r="A805" s="340"/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</row>
    <row r="806">
      <c r="A806" s="340"/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</row>
    <row r="807">
      <c r="A807" s="340"/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</row>
    <row r="808">
      <c r="A808" s="340"/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</row>
    <row r="809">
      <c r="A809" s="340"/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</row>
    <row r="810">
      <c r="A810" s="340"/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</row>
    <row r="811">
      <c r="A811" s="340"/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</row>
    <row r="812">
      <c r="A812" s="340"/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</row>
    <row r="813">
      <c r="A813" s="340"/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</row>
    <row r="814">
      <c r="A814" s="340"/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</row>
    <row r="815">
      <c r="A815" s="340"/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</row>
    <row r="816">
      <c r="A816" s="340"/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</row>
    <row r="817">
      <c r="A817" s="340"/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</row>
    <row r="818">
      <c r="A818" s="340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</row>
    <row r="819">
      <c r="A819" s="340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</row>
    <row r="820">
      <c r="A820" s="340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</row>
    <row r="821">
      <c r="A821" s="340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</row>
    <row r="822">
      <c r="A822" s="340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</row>
    <row r="823">
      <c r="A823" s="340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</row>
    <row r="824">
      <c r="A824" s="340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</row>
    <row r="825">
      <c r="A825" s="340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</row>
    <row r="826">
      <c r="A826" s="340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</row>
    <row r="827">
      <c r="A827" s="340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</row>
    <row r="828">
      <c r="A828" s="340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</row>
    <row r="829">
      <c r="A829" s="340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</row>
    <row r="830">
      <c r="A830" s="340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</row>
    <row r="831">
      <c r="A831" s="340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</row>
    <row r="832">
      <c r="A832" s="340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</row>
    <row r="833">
      <c r="A833" s="340"/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</row>
    <row r="834">
      <c r="A834" s="340"/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</row>
    <row r="835">
      <c r="A835" s="340"/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</row>
    <row r="836">
      <c r="A836" s="340"/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</row>
    <row r="837">
      <c r="A837" s="340"/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</row>
    <row r="838">
      <c r="A838" s="340"/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</row>
    <row r="839">
      <c r="A839" s="340"/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</row>
    <row r="840">
      <c r="A840" s="340"/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</row>
    <row r="841">
      <c r="A841" s="340"/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</row>
    <row r="842">
      <c r="A842" s="340"/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</row>
    <row r="843">
      <c r="A843" s="340"/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</row>
    <row r="844">
      <c r="A844" s="340"/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</row>
    <row r="845">
      <c r="A845" s="340"/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</row>
    <row r="846">
      <c r="A846" s="340"/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</row>
    <row r="847">
      <c r="A847" s="340"/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</row>
    <row r="848">
      <c r="A848" s="340"/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</row>
    <row r="849">
      <c r="A849" s="340"/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</row>
    <row r="850">
      <c r="A850" s="340"/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</row>
    <row r="851">
      <c r="A851" s="340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</row>
    <row r="852">
      <c r="A852" s="340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</row>
    <row r="853">
      <c r="A853" s="340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</row>
    <row r="854">
      <c r="A854" s="340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</row>
    <row r="855">
      <c r="A855" s="340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</row>
    <row r="856">
      <c r="A856" s="340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</row>
    <row r="857">
      <c r="A857" s="340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</row>
    <row r="858">
      <c r="A858" s="340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</row>
    <row r="859">
      <c r="A859" s="340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</row>
    <row r="860">
      <c r="A860" s="340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</row>
    <row r="861">
      <c r="A861" s="340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</row>
    <row r="862">
      <c r="A862" s="340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</row>
    <row r="863">
      <c r="A863" s="340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</row>
    <row r="864">
      <c r="A864" s="340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</row>
    <row r="865">
      <c r="A865" s="340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</row>
    <row r="866">
      <c r="A866" s="340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</row>
    <row r="867">
      <c r="A867" s="340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</row>
    <row r="868">
      <c r="A868" s="340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</row>
    <row r="869">
      <c r="A869" s="340"/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</row>
    <row r="870">
      <c r="A870" s="340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</row>
    <row r="871">
      <c r="A871" s="340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</row>
    <row r="872">
      <c r="A872" s="340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</row>
    <row r="873">
      <c r="A873" s="340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</row>
    <row r="874">
      <c r="A874" s="340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</row>
    <row r="875">
      <c r="A875" s="340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</row>
    <row r="876">
      <c r="A876" s="340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</row>
    <row r="877">
      <c r="A877" s="340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</row>
    <row r="878">
      <c r="A878" s="340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</row>
    <row r="879">
      <c r="A879" s="340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</row>
    <row r="880">
      <c r="A880" s="340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</row>
    <row r="881">
      <c r="A881" s="340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</row>
    <row r="882">
      <c r="A882" s="340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</row>
    <row r="883">
      <c r="A883" s="340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</row>
    <row r="884">
      <c r="A884" s="340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</row>
    <row r="885">
      <c r="A885" s="340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</row>
    <row r="886">
      <c r="A886" s="340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</row>
    <row r="887">
      <c r="A887" s="340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</row>
    <row r="888">
      <c r="A888" s="340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</row>
    <row r="889">
      <c r="A889" s="340"/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</row>
    <row r="890">
      <c r="A890" s="340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</row>
    <row r="891">
      <c r="A891" s="340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</row>
    <row r="892">
      <c r="A892" s="340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</row>
    <row r="893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</row>
    <row r="894">
      <c r="A894" s="340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</row>
    <row r="895">
      <c r="A895" s="340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</row>
    <row r="896">
      <c r="A896" s="340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</row>
    <row r="897">
      <c r="A897" s="340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</row>
    <row r="898">
      <c r="A898" s="340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</row>
    <row r="899">
      <c r="A899" s="340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</row>
    <row r="900">
      <c r="A900" s="340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</row>
    <row r="901">
      <c r="A901" s="340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</row>
    <row r="902">
      <c r="A902" s="340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</row>
    <row r="903">
      <c r="A903" s="340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</row>
    <row r="904">
      <c r="A904" s="340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</row>
    <row r="905">
      <c r="A905" s="340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</row>
    <row r="906">
      <c r="A906" s="340"/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</row>
    <row r="907">
      <c r="A907" s="340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</row>
    <row r="908">
      <c r="A908" s="340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</row>
    <row r="909">
      <c r="A909" s="340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</row>
    <row r="910">
      <c r="A910" s="340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</row>
    <row r="911">
      <c r="A911" s="340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</row>
    <row r="912">
      <c r="A912" s="340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</row>
    <row r="913">
      <c r="A913" s="340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</row>
    <row r="914">
      <c r="A914" s="340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</row>
    <row r="915">
      <c r="A915" s="340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</row>
    <row r="916">
      <c r="A916" s="340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</row>
    <row r="917">
      <c r="A917" s="340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</row>
    <row r="918">
      <c r="A918" s="340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</row>
    <row r="919">
      <c r="A919" s="340"/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</row>
    <row r="920">
      <c r="A920" s="340"/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</row>
    <row r="921">
      <c r="A921" s="340"/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</row>
    <row r="922">
      <c r="A922" s="340"/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</row>
    <row r="923">
      <c r="A923" s="340"/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</row>
    <row r="924">
      <c r="A924" s="340"/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</row>
    <row r="925">
      <c r="A925" s="340"/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</row>
    <row r="926">
      <c r="A926" s="340"/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</row>
    <row r="927">
      <c r="A927" s="340"/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</row>
    <row r="928">
      <c r="A928" s="340"/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</row>
    <row r="929">
      <c r="A929" s="340"/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</row>
    <row r="930">
      <c r="A930" s="340"/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</row>
    <row r="931">
      <c r="A931" s="340"/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</row>
    <row r="932">
      <c r="A932" s="340"/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</row>
    <row r="933">
      <c r="A933" s="340"/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</row>
    <row r="934">
      <c r="A934" s="340"/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</row>
    <row r="935">
      <c r="A935" s="340"/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</row>
    <row r="936">
      <c r="A936" s="340"/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</row>
    <row r="937">
      <c r="A937" s="340"/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</row>
    <row r="938">
      <c r="A938" s="340"/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</row>
    <row r="939">
      <c r="A939" s="340"/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</row>
    <row r="940">
      <c r="A940" s="340"/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</row>
    <row r="941">
      <c r="A941" s="340"/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</row>
    <row r="942">
      <c r="A942" s="340"/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</row>
    <row r="943">
      <c r="A943" s="340"/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</row>
    <row r="944">
      <c r="A944" s="340"/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</row>
    <row r="945">
      <c r="A945" s="340"/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</row>
    <row r="946">
      <c r="A946" s="340"/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</row>
    <row r="947">
      <c r="A947" s="340"/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</row>
    <row r="948">
      <c r="A948" s="340"/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</row>
    <row r="949">
      <c r="A949" s="340"/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</row>
    <row r="950">
      <c r="A950" s="340"/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</row>
    <row r="951">
      <c r="A951" s="340"/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</row>
    <row r="952">
      <c r="A952" s="340"/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</row>
    <row r="953">
      <c r="A953" s="340"/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</row>
    <row r="954">
      <c r="A954" s="340"/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</row>
    <row r="955">
      <c r="A955" s="340"/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</row>
    <row r="956">
      <c r="A956" s="340"/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</row>
    <row r="957">
      <c r="A957" s="340"/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</row>
    <row r="958">
      <c r="A958" s="340"/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</row>
    <row r="959">
      <c r="A959" s="340"/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</row>
    <row r="960">
      <c r="A960" s="340"/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</row>
    <row r="961">
      <c r="A961" s="340"/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</row>
    <row r="962">
      <c r="A962" s="340"/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</row>
    <row r="963">
      <c r="A963" s="340"/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</row>
    <row r="964">
      <c r="A964" s="340"/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</row>
    <row r="965">
      <c r="A965" s="340"/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</row>
    <row r="966">
      <c r="A966" s="340"/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</row>
    <row r="967">
      <c r="A967" s="340"/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</row>
    <row r="968">
      <c r="A968" s="340"/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</row>
    <row r="969">
      <c r="A969" s="340"/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</row>
    <row r="970">
      <c r="A970" s="340"/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</row>
    <row r="971">
      <c r="A971" s="340"/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</row>
    <row r="972">
      <c r="A972" s="340"/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</row>
    <row r="973">
      <c r="A973" s="340"/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</row>
    <row r="974">
      <c r="A974" s="340"/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</row>
    <row r="975">
      <c r="A975" s="340"/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</row>
    <row r="976">
      <c r="A976" s="340"/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</row>
    <row r="977">
      <c r="A977" s="340"/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</row>
    <row r="978">
      <c r="A978" s="340"/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</row>
    <row r="979">
      <c r="A979" s="340"/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</row>
    <row r="980">
      <c r="A980" s="340"/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</row>
  </sheetData>
  <mergeCells count="36">
    <mergeCell ref="C1:D1"/>
    <mergeCell ref="E1:H1"/>
    <mergeCell ref="I1:M1"/>
    <mergeCell ref="N1:Q1"/>
    <mergeCell ref="R1:T1"/>
    <mergeCell ref="B2:H2"/>
    <mergeCell ref="J2:P2"/>
    <mergeCell ref="R2:X2"/>
    <mergeCell ref="M10:X10"/>
    <mergeCell ref="B11:H11"/>
    <mergeCell ref="M11:S11"/>
    <mergeCell ref="M12:S12"/>
    <mergeCell ref="M13:S13"/>
    <mergeCell ref="M14:S14"/>
    <mergeCell ref="M15:S15"/>
    <mergeCell ref="M16:S16"/>
    <mergeCell ref="M17:S17"/>
    <mergeCell ref="M18:S18"/>
    <mergeCell ref="M19:S19"/>
    <mergeCell ref="M20:S20"/>
    <mergeCell ref="M21:S21"/>
    <mergeCell ref="M33:X33"/>
    <mergeCell ref="M37:S37"/>
    <mergeCell ref="M38:S38"/>
    <mergeCell ref="M39:S39"/>
    <mergeCell ref="M40:S40"/>
    <mergeCell ref="M41:S41"/>
    <mergeCell ref="M42:S42"/>
    <mergeCell ref="M43:S43"/>
    <mergeCell ref="B25:H25"/>
    <mergeCell ref="J25:P25"/>
    <mergeCell ref="R25:X25"/>
    <mergeCell ref="B34:H34"/>
    <mergeCell ref="M34:S34"/>
    <mergeCell ref="M35:S35"/>
    <mergeCell ref="M36:S36"/>
  </mergeCells>
  <conditionalFormatting sqref="C3:H3 I3:I7 J3:P3 Q3:Q7 R3:AF3 C12:H12 C26:H26 I26:I30 J26:P26 Q26:Q30 R26:AB26 C35:H35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7.75"/>
    <col customWidth="1" min="3" max="3" width="12.0"/>
    <col customWidth="1" min="4" max="4" width="12.75"/>
    <col customWidth="1" min="5" max="5" width="23.13"/>
    <col customWidth="1" min="6" max="6" width="14.63"/>
    <col customWidth="1" min="7" max="7" width="18.5"/>
    <col customWidth="1" min="8" max="8" width="19.25"/>
    <col customWidth="1" min="9" max="9" width="12.75"/>
    <col customWidth="1" min="10" max="10" width="16.63"/>
    <col customWidth="1" min="11" max="11" width="16.88"/>
    <col customWidth="1" min="12" max="12" width="14.88"/>
  </cols>
  <sheetData>
    <row r="1" ht="22.5" customHeight="1">
      <c r="A1" s="363" t="s">
        <v>44</v>
      </c>
      <c r="B1" s="363" t="s">
        <v>866</v>
      </c>
      <c r="C1" s="364" t="s">
        <v>867</v>
      </c>
      <c r="D1" s="364" t="s">
        <v>868</v>
      </c>
      <c r="E1" s="364" t="s">
        <v>869</v>
      </c>
      <c r="F1" s="364" t="s">
        <v>870</v>
      </c>
      <c r="G1" s="364" t="s">
        <v>871</v>
      </c>
      <c r="H1" s="364" t="s">
        <v>872</v>
      </c>
      <c r="I1" s="364" t="s">
        <v>873</v>
      </c>
      <c r="J1" s="364" t="s">
        <v>874</v>
      </c>
      <c r="K1" s="364" t="s">
        <v>875</v>
      </c>
      <c r="L1" s="364" t="s">
        <v>876</v>
      </c>
    </row>
    <row r="2" ht="22.5" customHeight="1">
      <c r="A2" s="365" t="s">
        <v>877</v>
      </c>
      <c r="B2" s="366" t="s">
        <v>878</v>
      </c>
      <c r="C2" s="367" t="s">
        <v>879</v>
      </c>
      <c r="D2" s="368" t="s">
        <v>880</v>
      </c>
      <c r="E2" s="368" t="s">
        <v>881</v>
      </c>
      <c r="F2" s="367" t="s">
        <v>60</v>
      </c>
      <c r="G2" s="369" t="s">
        <v>882</v>
      </c>
      <c r="H2" s="370">
        <f>IFERROR(__xludf.DUMMYFUNCTION("IF(ISBLANK(G2), 0, IF(TRIM(REGEXREPLACE(G2, ""(?i)\be\b|,"", """"))="""", 0, LEN(TRIM(REGEXREPLACE(G2, ""(?i)\be\b|,"", """"))) - LEN(SUBSTITUTE(TRIM(REGEXREPLACE(G2, ""(?i)\be\b|,"", """")), "" "", """")) + 1))"),9.0)</f>
        <v>9</v>
      </c>
      <c r="I2" s="371"/>
      <c r="J2" s="372" t="s">
        <v>883</v>
      </c>
      <c r="K2" s="373" t="s">
        <v>884</v>
      </c>
      <c r="L2" s="374">
        <f t="shared" ref="L2:L75" si="1">IF(H2&lt;0,0,H2*0.05)+ IF(K2="sim",0.15,0)+ IF(D2="Excel",0.1,0)+IF(I2="Sensível",0.1,0)</f>
        <v>0.6</v>
      </c>
    </row>
    <row r="3" ht="22.5" customHeight="1">
      <c r="A3" s="365" t="s">
        <v>885</v>
      </c>
      <c r="B3" s="366" t="s">
        <v>886</v>
      </c>
      <c r="C3" s="367" t="s">
        <v>879</v>
      </c>
      <c r="D3" s="368" t="s">
        <v>880</v>
      </c>
      <c r="E3" s="368" t="s">
        <v>887</v>
      </c>
      <c r="F3" s="367" t="s">
        <v>888</v>
      </c>
      <c r="G3" s="369" t="s">
        <v>889</v>
      </c>
      <c r="H3" s="370">
        <f>IFERROR(__xludf.DUMMYFUNCTION("IF(ISBLANK(G3), 0, IF(TRIM(REGEXREPLACE(G3, ""(?i)\be\b|,"", """"))="""", 0, LEN(TRIM(REGEXREPLACE(G3, ""(?i)\be\b|,"", """"))) - LEN(SUBSTITUTE(TRIM(REGEXREPLACE(G3, ""(?i)\be\b|,"", """")), "" "", """")) + 1))"),5.0)</f>
        <v>5</v>
      </c>
      <c r="I3" s="371"/>
      <c r="J3" s="375" t="s">
        <v>890</v>
      </c>
      <c r="K3" s="373" t="s">
        <v>884</v>
      </c>
      <c r="L3" s="374">
        <f t="shared" si="1"/>
        <v>0.4</v>
      </c>
    </row>
    <row r="4" ht="22.5" customHeight="1">
      <c r="A4" s="376" t="s">
        <v>891</v>
      </c>
      <c r="B4" s="366" t="s">
        <v>892</v>
      </c>
      <c r="C4" s="367" t="s">
        <v>879</v>
      </c>
      <c r="D4" s="368" t="s">
        <v>880</v>
      </c>
      <c r="E4" s="368" t="s">
        <v>893</v>
      </c>
      <c r="F4" s="367" t="s">
        <v>894</v>
      </c>
      <c r="G4" s="369" t="s">
        <v>895</v>
      </c>
      <c r="H4" s="370">
        <f>IFERROR(__xludf.DUMMYFUNCTION("IF(ISBLANK(G4), 0, IF(TRIM(REGEXREPLACE(G4, ""(?i)\be\b|,"", """"))="""", 0, LEN(TRIM(REGEXREPLACE(G4, ""(?i)\be\b|,"", """"))) - LEN(SUBSTITUTE(TRIM(REGEXREPLACE(G4, ""(?i)\be\b|,"", """")), "" "", """")) + 1))"),3.0)</f>
        <v>3</v>
      </c>
      <c r="I4" s="373" t="s">
        <v>896</v>
      </c>
      <c r="J4" s="377" t="s">
        <v>897</v>
      </c>
      <c r="K4" s="373" t="s">
        <v>884</v>
      </c>
      <c r="L4" s="374">
        <f t="shared" si="1"/>
        <v>0.4</v>
      </c>
    </row>
    <row r="5" ht="22.5" customHeight="1">
      <c r="A5" s="376" t="s">
        <v>891</v>
      </c>
      <c r="B5" s="376" t="s">
        <v>898</v>
      </c>
      <c r="C5" s="367" t="s">
        <v>879</v>
      </c>
      <c r="D5" s="368" t="s">
        <v>880</v>
      </c>
      <c r="E5" s="368" t="s">
        <v>893</v>
      </c>
      <c r="F5" s="367" t="s">
        <v>894</v>
      </c>
      <c r="G5" s="369" t="s">
        <v>899</v>
      </c>
      <c r="H5" s="370">
        <f>IFERROR(__xludf.DUMMYFUNCTION("IF(ISBLANK(G5), 0, IF(TRIM(REGEXREPLACE(G5, ""(?i)\be\b|,"", """"))="""", 0, LEN(TRIM(REGEXREPLACE(G5, ""(?i)\be\b|,"", """"))) - LEN(SUBSTITUTE(TRIM(REGEXREPLACE(G5, ""(?i)\be\b|,"", """")), "" "", """")) + 1))"),4.0)</f>
        <v>4</v>
      </c>
      <c r="I5" s="373" t="s">
        <v>896</v>
      </c>
      <c r="J5" s="378" t="s">
        <v>900</v>
      </c>
      <c r="K5" s="371"/>
      <c r="L5" s="374">
        <f t="shared" si="1"/>
        <v>0.3</v>
      </c>
    </row>
    <row r="6" ht="22.5" customHeight="1">
      <c r="A6" s="376" t="s">
        <v>877</v>
      </c>
      <c r="B6" s="366" t="s">
        <v>901</v>
      </c>
      <c r="C6" s="367" t="s">
        <v>879</v>
      </c>
      <c r="D6" s="368" t="s">
        <v>880</v>
      </c>
      <c r="E6" s="368" t="s">
        <v>881</v>
      </c>
      <c r="F6" s="367" t="s">
        <v>60</v>
      </c>
      <c r="G6" s="369" t="s">
        <v>902</v>
      </c>
      <c r="H6" s="370">
        <f>IFERROR(__xludf.DUMMYFUNCTION("IF(ISBLANK(G6), 0, IF(TRIM(REGEXREPLACE(G6, ""(?i)\be\b|,"", """"))="""", 0, LEN(TRIM(REGEXREPLACE(G6, ""(?i)\be\b|,"", """"))) - LEN(SUBSTITUTE(TRIM(REGEXREPLACE(G6, ""(?i)\be\b|,"", """")), "" "", """")) + 1))"),3.0)</f>
        <v>3</v>
      </c>
      <c r="I6" s="371"/>
      <c r="J6" s="372" t="s">
        <v>883</v>
      </c>
      <c r="K6" s="373" t="s">
        <v>884</v>
      </c>
      <c r="L6" s="374">
        <f t="shared" si="1"/>
        <v>0.3</v>
      </c>
    </row>
    <row r="7" ht="22.5" customHeight="1">
      <c r="A7" s="376" t="s">
        <v>903</v>
      </c>
      <c r="B7" s="376" t="s">
        <v>904</v>
      </c>
      <c r="C7" s="367" t="s">
        <v>879</v>
      </c>
      <c r="D7" s="368" t="s">
        <v>880</v>
      </c>
      <c r="E7" s="368" t="s">
        <v>887</v>
      </c>
      <c r="F7" s="367" t="s">
        <v>888</v>
      </c>
      <c r="G7" s="369" t="s">
        <v>905</v>
      </c>
      <c r="H7" s="370">
        <f>IFERROR(__xludf.DUMMYFUNCTION("IF(ISBLANK(G7), 0, IF(TRIM(REGEXREPLACE(G7, ""(?i)\be\b|,"", """"))="""", 0, LEN(TRIM(REGEXREPLACE(G7, ""(?i)\be\b|,"", """"))) - LEN(SUBSTITUTE(TRIM(REGEXREPLACE(G7, ""(?i)\be\b|,"", """")), "" "", """")) + 1))"),3.0)</f>
        <v>3</v>
      </c>
      <c r="I7" s="371"/>
      <c r="J7" s="375" t="s">
        <v>890</v>
      </c>
      <c r="K7" s="379" t="s">
        <v>884</v>
      </c>
      <c r="L7" s="374">
        <f t="shared" si="1"/>
        <v>0.3</v>
      </c>
    </row>
    <row r="8" ht="22.5" customHeight="1">
      <c r="A8" s="365" t="s">
        <v>885</v>
      </c>
      <c r="B8" s="366" t="s">
        <v>906</v>
      </c>
      <c r="C8" s="367" t="s">
        <v>879</v>
      </c>
      <c r="D8" s="368" t="s">
        <v>880</v>
      </c>
      <c r="E8" s="368" t="s">
        <v>887</v>
      </c>
      <c r="F8" s="367" t="s">
        <v>888</v>
      </c>
      <c r="G8" s="369" t="s">
        <v>907</v>
      </c>
      <c r="H8" s="370">
        <f>IFERROR(__xludf.DUMMYFUNCTION("IF(ISBLANK(G8), 0, IF(TRIM(REGEXREPLACE(G8, ""(?i)\be\b|,"", """"))="""", 0, LEN(TRIM(REGEXREPLACE(G8, ""(?i)\be\b|,"", """"))) - LEN(SUBSTITUTE(TRIM(REGEXREPLACE(G8, ""(?i)\be\b|,"", """")), "" "", """")) + 1))"),3.0)</f>
        <v>3</v>
      </c>
      <c r="I8" s="371"/>
      <c r="J8" s="375" t="s">
        <v>890</v>
      </c>
      <c r="K8" s="373" t="s">
        <v>884</v>
      </c>
      <c r="L8" s="374">
        <f t="shared" si="1"/>
        <v>0.3</v>
      </c>
    </row>
    <row r="9" ht="22.5" customHeight="1">
      <c r="A9" s="365" t="s">
        <v>885</v>
      </c>
      <c r="B9" s="366" t="s">
        <v>908</v>
      </c>
      <c r="C9" s="367" t="s">
        <v>879</v>
      </c>
      <c r="D9" s="368" t="s">
        <v>880</v>
      </c>
      <c r="E9" s="368" t="s">
        <v>887</v>
      </c>
      <c r="F9" s="367" t="s">
        <v>888</v>
      </c>
      <c r="G9" s="369" t="s">
        <v>907</v>
      </c>
      <c r="H9" s="370">
        <f>IFERROR(__xludf.DUMMYFUNCTION("IF(ISBLANK(G9), 0, IF(TRIM(REGEXREPLACE(G9, ""(?i)\be\b|,"", """"))="""", 0, LEN(TRIM(REGEXREPLACE(G9, ""(?i)\be\b|,"", """"))) - LEN(SUBSTITUTE(TRIM(REGEXREPLACE(G9, ""(?i)\be\b|,"", """")), "" "", """")) + 1))"),3.0)</f>
        <v>3</v>
      </c>
      <c r="I9" s="371"/>
      <c r="J9" s="375" t="s">
        <v>890</v>
      </c>
      <c r="K9" s="373" t="s">
        <v>884</v>
      </c>
      <c r="L9" s="374">
        <f t="shared" si="1"/>
        <v>0.3</v>
      </c>
    </row>
    <row r="10" ht="22.5" customHeight="1">
      <c r="A10" s="365" t="s">
        <v>885</v>
      </c>
      <c r="B10" s="365" t="s">
        <v>909</v>
      </c>
      <c r="C10" s="367" t="s">
        <v>879</v>
      </c>
      <c r="D10" s="368" t="s">
        <v>880</v>
      </c>
      <c r="E10" s="368" t="s">
        <v>887</v>
      </c>
      <c r="F10" s="367" t="s">
        <v>888</v>
      </c>
      <c r="G10" s="369" t="s">
        <v>907</v>
      </c>
      <c r="H10" s="370">
        <f>IFERROR(__xludf.DUMMYFUNCTION("IF(ISBLANK(G10), 0, IF(TRIM(REGEXREPLACE(G10, ""(?i)\be\b|,"", """"))="""", 0, LEN(TRIM(REGEXREPLACE(G10, ""(?i)\be\b|,"", """"))) - LEN(SUBSTITUTE(TRIM(REGEXREPLACE(G10, ""(?i)\be\b|,"", """")), "" "", """")) + 1))"),3.0)</f>
        <v>3</v>
      </c>
      <c r="I10" s="371"/>
      <c r="J10" s="375" t="s">
        <v>890</v>
      </c>
      <c r="K10" s="373" t="s">
        <v>884</v>
      </c>
      <c r="L10" s="374">
        <f t="shared" si="1"/>
        <v>0.3</v>
      </c>
    </row>
    <row r="11" ht="22.5" customHeight="1">
      <c r="A11" s="365" t="s">
        <v>885</v>
      </c>
      <c r="B11" s="365" t="s">
        <v>910</v>
      </c>
      <c r="C11" s="367" t="s">
        <v>879</v>
      </c>
      <c r="D11" s="368" t="s">
        <v>880</v>
      </c>
      <c r="E11" s="368" t="s">
        <v>893</v>
      </c>
      <c r="F11" s="368" t="s">
        <v>60</v>
      </c>
      <c r="G11" s="380" t="s">
        <v>911</v>
      </c>
      <c r="H11" s="370">
        <f>IFERROR(__xludf.DUMMYFUNCTION("IF(ISBLANK(G11), 0, IF(TRIM(REGEXREPLACE(G11, ""(?i)\be\b|,"", """"))="""", 0, LEN(TRIM(REGEXREPLACE(G11, ""(?i)\be\b|,"", """"))) - LEN(SUBSTITUTE(TRIM(REGEXREPLACE(G11, ""(?i)\be\b|,"", """")), "" "", """")) + 1))"),2.0)</f>
        <v>2</v>
      </c>
      <c r="I11" s="371"/>
      <c r="J11" s="375" t="s">
        <v>890</v>
      </c>
      <c r="K11" s="373" t="s">
        <v>884</v>
      </c>
      <c r="L11" s="374">
        <f t="shared" si="1"/>
        <v>0.25</v>
      </c>
    </row>
    <row r="12" ht="22.5" customHeight="1">
      <c r="A12" s="376" t="s">
        <v>891</v>
      </c>
      <c r="B12" s="366" t="s">
        <v>912</v>
      </c>
      <c r="C12" s="367" t="s">
        <v>879</v>
      </c>
      <c r="D12" s="368" t="s">
        <v>880</v>
      </c>
      <c r="E12" s="368" t="s">
        <v>893</v>
      </c>
      <c r="F12" s="367" t="s">
        <v>894</v>
      </c>
      <c r="G12" s="380" t="s">
        <v>913</v>
      </c>
      <c r="H12" s="370">
        <f>IFERROR(__xludf.DUMMYFUNCTION("IF(ISBLANK(G12), 0, IF(TRIM(REGEXREPLACE(G12, ""(?i)\be\b|,"", """"))="""", 0, LEN(TRIM(REGEXREPLACE(G12, ""(?i)\be\b|,"", """"))) - LEN(SUBSTITUTE(TRIM(REGEXREPLACE(G12, ""(?i)\be\b|,"", """")), "" "", """")) + 1))"),2.0)</f>
        <v>2</v>
      </c>
      <c r="I12" s="371"/>
      <c r="J12" s="377" t="s">
        <v>900</v>
      </c>
      <c r="K12" s="373" t="s">
        <v>884</v>
      </c>
      <c r="L12" s="374">
        <f t="shared" si="1"/>
        <v>0.25</v>
      </c>
    </row>
    <row r="13" ht="22.5" customHeight="1">
      <c r="A13" s="376" t="s">
        <v>891</v>
      </c>
      <c r="B13" s="366" t="s">
        <v>914</v>
      </c>
      <c r="C13" s="367" t="s">
        <v>915</v>
      </c>
      <c r="D13" s="368" t="s">
        <v>880</v>
      </c>
      <c r="E13" s="368" t="s">
        <v>893</v>
      </c>
      <c r="F13" s="367" t="s">
        <v>894</v>
      </c>
      <c r="G13" s="380"/>
      <c r="H13" s="370">
        <f>IFERROR(__xludf.DUMMYFUNCTION("IF(ISBLANK(G13), 0, IF(TRIM(REGEXREPLACE(G13, ""(?i)\be\b|,"", """"))="""", 0, LEN(TRIM(REGEXREPLACE(G13, ""(?i)\be\b|,"", """"))) - LEN(SUBSTITUTE(TRIM(REGEXREPLACE(G13, ""(?i)\be\b|,"", """")), "" "", """")) + 1))"),0.0)</f>
        <v>0</v>
      </c>
      <c r="I13" s="373" t="s">
        <v>896</v>
      </c>
      <c r="J13" s="377" t="s">
        <v>900</v>
      </c>
      <c r="K13" s="373" t="s">
        <v>884</v>
      </c>
      <c r="L13" s="374">
        <f t="shared" si="1"/>
        <v>0.25</v>
      </c>
    </row>
    <row r="14" ht="22.5" customHeight="1">
      <c r="A14" s="376" t="s">
        <v>916</v>
      </c>
      <c r="B14" s="366" t="s">
        <v>917</v>
      </c>
      <c r="C14" s="368" t="s">
        <v>918</v>
      </c>
      <c r="D14" s="368" t="s">
        <v>880</v>
      </c>
      <c r="E14" s="368" t="s">
        <v>881</v>
      </c>
      <c r="F14" s="367" t="s">
        <v>60</v>
      </c>
      <c r="G14" s="380"/>
      <c r="H14" s="370">
        <f>IFERROR(__xludf.DUMMYFUNCTION("IF(ISBLANK(G14), 0, IF(TRIM(REGEXREPLACE(G14, ""(?i)\be\b|,"", """"))="""", 0, LEN(TRIM(REGEXREPLACE(G14, ""(?i)\be\b|,"", """"))) - LEN(SUBSTITUTE(TRIM(REGEXREPLACE(G14, ""(?i)\be\b|,"", """")), "" "", """")) + 1))"),0.0)</f>
        <v>0</v>
      </c>
      <c r="I14" s="381" t="s">
        <v>896</v>
      </c>
      <c r="J14" s="382" t="s">
        <v>890</v>
      </c>
      <c r="K14" s="373" t="s">
        <v>884</v>
      </c>
      <c r="L14" s="374">
        <f t="shared" si="1"/>
        <v>0.25</v>
      </c>
    </row>
    <row r="15" ht="22.5" customHeight="1">
      <c r="A15" s="376" t="s">
        <v>885</v>
      </c>
      <c r="B15" s="376" t="s">
        <v>919</v>
      </c>
      <c r="C15" s="367" t="s">
        <v>879</v>
      </c>
      <c r="D15" s="368" t="s">
        <v>880</v>
      </c>
      <c r="E15" s="368" t="s">
        <v>887</v>
      </c>
      <c r="F15" s="367" t="s">
        <v>888</v>
      </c>
      <c r="G15" s="369" t="s">
        <v>920</v>
      </c>
      <c r="H15" s="370">
        <f>IFERROR(__xludf.DUMMYFUNCTION("IF(ISBLANK(G15), 0, IF(TRIM(REGEXREPLACE(G15, ""(?i)\be\b|,"", """"))="""", 0, LEN(TRIM(REGEXREPLACE(G15, ""(?i)\be\b|,"", """"))) - LEN(SUBSTITUTE(TRIM(REGEXREPLACE(G15, ""(?i)\be\b|,"", """")), "" "", """")) + 1))"),2.0)</f>
        <v>2</v>
      </c>
      <c r="I15" s="371"/>
      <c r="J15" s="375" t="s">
        <v>890</v>
      </c>
      <c r="K15" s="373" t="s">
        <v>884</v>
      </c>
      <c r="L15" s="374">
        <f t="shared" si="1"/>
        <v>0.25</v>
      </c>
    </row>
    <row r="16" ht="22.5" customHeight="1">
      <c r="A16" s="376" t="s">
        <v>885</v>
      </c>
      <c r="B16" s="376" t="s">
        <v>921</v>
      </c>
      <c r="C16" s="367" t="s">
        <v>879</v>
      </c>
      <c r="D16" s="368" t="s">
        <v>880</v>
      </c>
      <c r="E16" s="368" t="s">
        <v>887</v>
      </c>
      <c r="F16" s="367" t="s">
        <v>888</v>
      </c>
      <c r="G16" s="369" t="s">
        <v>920</v>
      </c>
      <c r="H16" s="370">
        <f>IFERROR(__xludf.DUMMYFUNCTION("IF(ISBLANK(G16), 0, IF(TRIM(REGEXREPLACE(G16, ""(?i)\be\b|,"", """"))="""", 0, LEN(TRIM(REGEXREPLACE(G16, ""(?i)\be\b|,"", """"))) - LEN(SUBSTITUTE(TRIM(REGEXREPLACE(G16, ""(?i)\be\b|,"", """")), "" "", """")) + 1))"),2.0)</f>
        <v>2</v>
      </c>
      <c r="I16" s="371"/>
      <c r="J16" s="375" t="s">
        <v>890</v>
      </c>
      <c r="K16" s="373" t="s">
        <v>884</v>
      </c>
      <c r="L16" s="374">
        <f t="shared" si="1"/>
        <v>0.25</v>
      </c>
    </row>
    <row r="17" ht="22.5" customHeight="1">
      <c r="A17" s="376" t="s">
        <v>885</v>
      </c>
      <c r="B17" s="376" t="s">
        <v>922</v>
      </c>
      <c r="C17" s="367" t="s">
        <v>879</v>
      </c>
      <c r="D17" s="368" t="s">
        <v>880</v>
      </c>
      <c r="E17" s="368" t="s">
        <v>887</v>
      </c>
      <c r="F17" s="367" t="s">
        <v>888</v>
      </c>
      <c r="G17" s="369" t="s">
        <v>920</v>
      </c>
      <c r="H17" s="370">
        <f>IFERROR(__xludf.DUMMYFUNCTION("IF(ISBLANK(G17), 0, IF(TRIM(REGEXREPLACE(G17, ""(?i)\be\b|,"", """"))="""", 0, LEN(TRIM(REGEXREPLACE(G17, ""(?i)\be\b|,"", """"))) - LEN(SUBSTITUTE(TRIM(REGEXREPLACE(G17, ""(?i)\be\b|,"", """")), "" "", """")) + 1))"),2.0)</f>
        <v>2</v>
      </c>
      <c r="I17" s="371"/>
      <c r="J17" s="375" t="s">
        <v>890</v>
      </c>
      <c r="K17" s="373" t="s">
        <v>884</v>
      </c>
      <c r="L17" s="374">
        <f t="shared" si="1"/>
        <v>0.25</v>
      </c>
    </row>
    <row r="18" ht="22.5" customHeight="1">
      <c r="A18" s="376" t="s">
        <v>923</v>
      </c>
      <c r="B18" s="376" t="s">
        <v>924</v>
      </c>
      <c r="C18" s="367" t="s">
        <v>879</v>
      </c>
      <c r="D18" s="368" t="s">
        <v>925</v>
      </c>
      <c r="E18" s="368" t="s">
        <v>926</v>
      </c>
      <c r="F18" s="367" t="s">
        <v>927</v>
      </c>
      <c r="G18" s="380" t="s">
        <v>733</v>
      </c>
      <c r="H18" s="370">
        <f>IFERROR(__xludf.DUMMYFUNCTION("IF(ISBLANK(G18), 0, IF(TRIM(REGEXREPLACE(G18, ""(?i)\be\b|,"", """"))="""", 0, LEN(TRIM(REGEXREPLACE(G18, ""(?i)\be\b|,"", """"))) - LEN(SUBSTITUTE(TRIM(REGEXREPLACE(G18, ""(?i)\be\b|,"", """")), "" "", """")) + 1))"),1.0)</f>
        <v>1</v>
      </c>
      <c r="I18" s="381" t="s">
        <v>896</v>
      </c>
      <c r="J18" s="377" t="s">
        <v>928</v>
      </c>
      <c r="K18" s="371"/>
      <c r="L18" s="374">
        <f t="shared" si="1"/>
        <v>0.25</v>
      </c>
    </row>
    <row r="19" ht="22.5" customHeight="1">
      <c r="A19" s="376" t="s">
        <v>923</v>
      </c>
      <c r="B19" s="376" t="s">
        <v>929</v>
      </c>
      <c r="C19" s="367" t="s">
        <v>879</v>
      </c>
      <c r="D19" s="368" t="s">
        <v>925</v>
      </c>
      <c r="E19" s="368" t="s">
        <v>926</v>
      </c>
      <c r="F19" s="367" t="s">
        <v>927</v>
      </c>
      <c r="G19" s="380" t="s">
        <v>733</v>
      </c>
      <c r="H19" s="370">
        <f>IFERROR(__xludf.DUMMYFUNCTION("IF(ISBLANK(G19), 0, IF(TRIM(REGEXREPLACE(G19, ""(?i)\be\b|,"", """"))="""", 0, LEN(TRIM(REGEXREPLACE(G19, ""(?i)\be\b|,"", """"))) - LEN(SUBSTITUTE(TRIM(REGEXREPLACE(G19, ""(?i)\be\b|,"", """")), "" "", """")) + 1))"),1.0)</f>
        <v>1</v>
      </c>
      <c r="I19" s="381" t="s">
        <v>896</v>
      </c>
      <c r="J19" s="377" t="s">
        <v>928</v>
      </c>
      <c r="K19" s="371"/>
      <c r="L19" s="374">
        <f t="shared" si="1"/>
        <v>0.25</v>
      </c>
    </row>
    <row r="20" ht="22.5" customHeight="1">
      <c r="A20" s="376" t="s">
        <v>930</v>
      </c>
      <c r="B20" s="376" t="s">
        <v>931</v>
      </c>
      <c r="C20" s="367" t="s">
        <v>932</v>
      </c>
      <c r="D20" s="368" t="s">
        <v>880</v>
      </c>
      <c r="E20" s="368" t="s">
        <v>893</v>
      </c>
      <c r="F20" s="368" t="s">
        <v>933</v>
      </c>
      <c r="G20" s="369" t="s">
        <v>934</v>
      </c>
      <c r="H20" s="370">
        <f>IFERROR(__xludf.DUMMYFUNCTION("IF(ISBLANK(G20), 0, IF(TRIM(REGEXREPLACE(G20, ""(?i)\be\b|,"", """"))="""", 0, LEN(TRIM(REGEXREPLACE(G20, ""(?i)\be\b|,"", """"))) - LEN(SUBSTITUTE(TRIM(REGEXREPLACE(G20, ""(?i)\be\b|,"", """")), "" "", """")) + 1))"),4.0)</f>
        <v>4</v>
      </c>
      <c r="I20" s="371"/>
      <c r="J20" s="378" t="s">
        <v>900</v>
      </c>
      <c r="K20" s="371"/>
      <c r="L20" s="374">
        <f t="shared" si="1"/>
        <v>0.2</v>
      </c>
    </row>
    <row r="21" ht="22.5" customHeight="1">
      <c r="A21" s="376" t="s">
        <v>885</v>
      </c>
      <c r="B21" s="376" t="s">
        <v>935</v>
      </c>
      <c r="C21" s="367" t="s">
        <v>879</v>
      </c>
      <c r="D21" s="368" t="s">
        <v>880</v>
      </c>
      <c r="E21" s="368" t="s">
        <v>887</v>
      </c>
      <c r="F21" s="367" t="s">
        <v>888</v>
      </c>
      <c r="G21" s="380" t="s">
        <v>733</v>
      </c>
      <c r="H21" s="370">
        <f>IFERROR(__xludf.DUMMYFUNCTION("IF(ISBLANK(G21), 0, IF(TRIM(REGEXREPLACE(G21, ""(?i)\be\b|,"", """"))="""", 0, LEN(TRIM(REGEXREPLACE(G21, ""(?i)\be\b|,"", """"))) - LEN(SUBSTITUTE(TRIM(REGEXREPLACE(G21, ""(?i)\be\b|,"", """")), "" "", """")) + 1))"),1.0)</f>
        <v>1</v>
      </c>
      <c r="I21" s="371"/>
      <c r="J21" s="375" t="s">
        <v>890</v>
      </c>
      <c r="K21" s="373" t="s">
        <v>884</v>
      </c>
      <c r="L21" s="374">
        <f t="shared" si="1"/>
        <v>0.2</v>
      </c>
    </row>
    <row r="22" ht="22.5" customHeight="1">
      <c r="A22" s="376" t="s">
        <v>936</v>
      </c>
      <c r="B22" s="376" t="s">
        <v>937</v>
      </c>
      <c r="C22" s="367" t="s">
        <v>879</v>
      </c>
      <c r="D22" s="368" t="s">
        <v>880</v>
      </c>
      <c r="E22" s="368" t="s">
        <v>938</v>
      </c>
      <c r="F22" s="367" t="s">
        <v>60</v>
      </c>
      <c r="G22" s="380" t="s">
        <v>733</v>
      </c>
      <c r="H22" s="370">
        <f>IFERROR(__xludf.DUMMYFUNCTION("IF(ISBLANK(G22), 0, IF(TRIM(REGEXREPLACE(G22, ""(?i)\be\b|,"", """"))="""", 0, LEN(TRIM(REGEXREPLACE(G22, ""(?i)\be\b|,"", """"))) - LEN(SUBSTITUTE(TRIM(REGEXREPLACE(G22, ""(?i)\be\b|,"", """")), "" "", """")) + 1))"),1.0)</f>
        <v>1</v>
      </c>
      <c r="I22" s="383"/>
      <c r="J22" s="384" t="s">
        <v>883</v>
      </c>
      <c r="K22" s="373" t="s">
        <v>884</v>
      </c>
      <c r="L22" s="374">
        <f t="shared" si="1"/>
        <v>0.2</v>
      </c>
    </row>
    <row r="23" ht="22.5" customHeight="1">
      <c r="A23" s="376" t="s">
        <v>877</v>
      </c>
      <c r="B23" s="366" t="s">
        <v>939</v>
      </c>
      <c r="C23" s="367" t="s">
        <v>879</v>
      </c>
      <c r="D23" s="368" t="s">
        <v>399</v>
      </c>
      <c r="E23" s="368" t="s">
        <v>940</v>
      </c>
      <c r="F23" s="367" t="s">
        <v>60</v>
      </c>
      <c r="G23" s="380" t="s">
        <v>733</v>
      </c>
      <c r="H23" s="370">
        <f>IFERROR(__xludf.DUMMYFUNCTION("IF(ISBLANK(G23), 0, IF(TRIM(REGEXREPLACE(G23, ""(?i)\be\b|,"", """"))="""", 0, LEN(TRIM(REGEXREPLACE(G23, ""(?i)\be\b|,"", """"))) - LEN(SUBSTITUTE(TRIM(REGEXREPLACE(G23, ""(?i)\be\b|,"", """")), "" "", """")) + 1))"),1.0)</f>
        <v>1</v>
      </c>
      <c r="I23" s="371"/>
      <c r="J23" s="372" t="s">
        <v>883</v>
      </c>
      <c r="K23" s="373" t="s">
        <v>884</v>
      </c>
      <c r="L23" s="374">
        <f t="shared" si="1"/>
        <v>0.2</v>
      </c>
    </row>
    <row r="24" ht="22.5" customHeight="1">
      <c r="A24" s="376" t="s">
        <v>477</v>
      </c>
      <c r="B24" s="376" t="s">
        <v>941</v>
      </c>
      <c r="C24" s="368" t="s">
        <v>918</v>
      </c>
      <c r="D24" s="368" t="s">
        <v>925</v>
      </c>
      <c r="E24" s="368" t="s">
        <v>942</v>
      </c>
      <c r="F24" s="367" t="s">
        <v>60</v>
      </c>
      <c r="G24" s="380"/>
      <c r="H24" s="370">
        <f>IFERROR(__xludf.DUMMYFUNCTION("IF(ISBLANK(G24), 0, IF(TRIM(REGEXREPLACE(G24, ""(?i)\be\b|,"", """"))="""", 0, LEN(TRIM(REGEXREPLACE(G24, ""(?i)\be\b|,"", """"))) - LEN(SUBSTITUTE(TRIM(REGEXREPLACE(G24, ""(?i)\be\b|,"", """")), "" "", """")) + 1))"),0.0)</f>
        <v>0</v>
      </c>
      <c r="I24" s="373" t="s">
        <v>896</v>
      </c>
      <c r="J24" s="378" t="s">
        <v>883</v>
      </c>
      <c r="K24" s="371"/>
      <c r="L24" s="374">
        <f t="shared" si="1"/>
        <v>0.2</v>
      </c>
    </row>
    <row r="25" ht="22.5" customHeight="1">
      <c r="A25" s="376" t="s">
        <v>477</v>
      </c>
      <c r="B25" s="376" t="s">
        <v>943</v>
      </c>
      <c r="C25" s="368" t="s">
        <v>918</v>
      </c>
      <c r="D25" s="368" t="s">
        <v>925</v>
      </c>
      <c r="E25" s="368" t="s">
        <v>942</v>
      </c>
      <c r="F25" s="367" t="s">
        <v>60</v>
      </c>
      <c r="G25" s="380"/>
      <c r="H25" s="370">
        <f>IFERROR(__xludf.DUMMYFUNCTION("IF(ISBLANK(G25), 0, IF(TRIM(REGEXREPLACE(G25, ""(?i)\be\b|,"", """"))="""", 0, LEN(TRIM(REGEXREPLACE(G25, ""(?i)\be\b|,"", """"))) - LEN(SUBSTITUTE(TRIM(REGEXREPLACE(G25, ""(?i)\be\b|,"", """")), "" "", """")) + 1))"),0.0)</f>
        <v>0</v>
      </c>
      <c r="I25" s="373" t="s">
        <v>896</v>
      </c>
      <c r="J25" s="378" t="s">
        <v>883</v>
      </c>
      <c r="K25" s="371"/>
      <c r="L25" s="374">
        <f t="shared" si="1"/>
        <v>0.2</v>
      </c>
    </row>
    <row r="26" ht="22.5" customHeight="1">
      <c r="A26" s="376" t="s">
        <v>916</v>
      </c>
      <c r="B26" s="366" t="s">
        <v>944</v>
      </c>
      <c r="C26" s="368" t="s">
        <v>918</v>
      </c>
      <c r="D26" s="368" t="s">
        <v>880</v>
      </c>
      <c r="E26" s="368" t="s">
        <v>881</v>
      </c>
      <c r="F26" s="367" t="s">
        <v>60</v>
      </c>
      <c r="G26" s="380" t="s">
        <v>945</v>
      </c>
      <c r="H26" s="370">
        <f>IFERROR(__xludf.DUMMYFUNCTION("IF(ISBLANK(G26), 0, IF(TRIM(REGEXREPLACE(G26, ""(?i)\be\b|,"", """"))="""", 0, LEN(TRIM(REGEXREPLACE(G26, ""(?i)\be\b|,"", """"))) - LEN(SUBSTITUTE(TRIM(REGEXREPLACE(G26, ""(?i)\be\b|,"", """")), "" "", """")) + 1))"),1.0)</f>
        <v>1</v>
      </c>
      <c r="I26" s="381" t="s">
        <v>896</v>
      </c>
      <c r="J26" s="382" t="s">
        <v>890</v>
      </c>
      <c r="K26" s="371"/>
      <c r="L26" s="374">
        <f t="shared" si="1"/>
        <v>0.15</v>
      </c>
    </row>
    <row r="27" ht="22.5" customHeight="1">
      <c r="A27" s="365" t="s">
        <v>946</v>
      </c>
      <c r="B27" s="366" t="s">
        <v>947</v>
      </c>
      <c r="C27" s="367" t="s">
        <v>879</v>
      </c>
      <c r="D27" s="368" t="s">
        <v>880</v>
      </c>
      <c r="E27" s="368" t="s">
        <v>893</v>
      </c>
      <c r="F27" s="367" t="s">
        <v>894</v>
      </c>
      <c r="G27" s="380" t="s">
        <v>733</v>
      </c>
      <c r="H27" s="370">
        <f>IFERROR(__xludf.DUMMYFUNCTION("IF(ISBLANK(G27), 0, IF(TRIM(REGEXREPLACE(G27, ""(?i)\be\b|,"", """"))="""", 0, LEN(TRIM(REGEXREPLACE(G27, ""(?i)\be\b|,"", """"))) - LEN(SUBSTITUTE(TRIM(REGEXREPLACE(G27, ""(?i)\be\b|,"", """")), "" "", """")) + 1))"),1.0)</f>
        <v>1</v>
      </c>
      <c r="I27" s="385" t="s">
        <v>896</v>
      </c>
      <c r="J27" s="377" t="s">
        <v>900</v>
      </c>
      <c r="K27" s="371"/>
      <c r="L27" s="374">
        <f t="shared" si="1"/>
        <v>0.15</v>
      </c>
    </row>
    <row r="28" ht="22.5" customHeight="1">
      <c r="A28" s="376" t="s">
        <v>877</v>
      </c>
      <c r="B28" s="366" t="s">
        <v>877</v>
      </c>
      <c r="C28" s="367" t="s">
        <v>879</v>
      </c>
      <c r="D28" s="368" t="s">
        <v>880</v>
      </c>
      <c r="E28" s="368" t="s">
        <v>893</v>
      </c>
      <c r="F28" s="368" t="s">
        <v>888</v>
      </c>
      <c r="G28" s="380"/>
      <c r="H28" s="370">
        <f>IFERROR(__xludf.DUMMYFUNCTION("IF(ISBLANK(G28), 0, IF(TRIM(REGEXREPLACE(G28, ""(?i)\be\b|,"", """"))="""", 0, LEN(TRIM(REGEXREPLACE(G28, ""(?i)\be\b|,"", """"))) - LEN(SUBSTITUTE(TRIM(REGEXREPLACE(G28, ""(?i)\be\b|,"", """")), "" "", """")) + 1))"),0.0)</f>
        <v>0</v>
      </c>
      <c r="I28" s="371"/>
      <c r="J28" s="372" t="s">
        <v>883</v>
      </c>
      <c r="K28" s="373" t="s">
        <v>884</v>
      </c>
      <c r="L28" s="374">
        <f t="shared" si="1"/>
        <v>0.15</v>
      </c>
    </row>
    <row r="29" ht="22.5" customHeight="1">
      <c r="A29" s="376" t="s">
        <v>885</v>
      </c>
      <c r="B29" s="376" t="s">
        <v>948</v>
      </c>
      <c r="C29" s="367" t="s">
        <v>879</v>
      </c>
      <c r="D29" s="368" t="s">
        <v>399</v>
      </c>
      <c r="E29" s="368" t="s">
        <v>940</v>
      </c>
      <c r="F29" s="367" t="s">
        <v>888</v>
      </c>
      <c r="G29" s="380"/>
      <c r="H29" s="370">
        <f>IFERROR(__xludf.DUMMYFUNCTION("IF(ISBLANK(G29), 0, IF(TRIM(REGEXREPLACE(G29, ""(?i)\be\b|,"", """"))="""", 0, LEN(TRIM(REGEXREPLACE(G29, ""(?i)\be\b|,"", """"))) - LEN(SUBSTITUTE(TRIM(REGEXREPLACE(G29, ""(?i)\be\b|,"", """")), "" "", """")) + 1))"),0.0)</f>
        <v>0</v>
      </c>
      <c r="I29" s="371"/>
      <c r="J29" s="375" t="s">
        <v>890</v>
      </c>
      <c r="K29" s="373" t="s">
        <v>884</v>
      </c>
      <c r="L29" s="374">
        <f t="shared" si="1"/>
        <v>0.15</v>
      </c>
    </row>
    <row r="30" ht="22.5" customHeight="1">
      <c r="A30" s="376" t="s">
        <v>885</v>
      </c>
      <c r="B30" s="366" t="s">
        <v>949</v>
      </c>
      <c r="C30" s="367" t="s">
        <v>879</v>
      </c>
      <c r="D30" s="368" t="s">
        <v>399</v>
      </c>
      <c r="E30" s="368" t="s">
        <v>940</v>
      </c>
      <c r="F30" s="367" t="s">
        <v>888</v>
      </c>
      <c r="G30" s="380"/>
      <c r="H30" s="370">
        <f>IFERROR(__xludf.DUMMYFUNCTION("IF(ISBLANK(G30), 0, IF(TRIM(REGEXREPLACE(G30, ""(?i)\be\b|,"", """"))="""", 0, LEN(TRIM(REGEXREPLACE(G30, ""(?i)\be\b|,"", """"))) - LEN(SUBSTITUTE(TRIM(REGEXREPLACE(G30, ""(?i)\be\b|,"", """")), "" "", """")) + 1))"),0.0)</f>
        <v>0</v>
      </c>
      <c r="I30" s="371"/>
      <c r="J30" s="375" t="s">
        <v>890</v>
      </c>
      <c r="K30" s="373" t="s">
        <v>884</v>
      </c>
      <c r="L30" s="374">
        <f t="shared" si="1"/>
        <v>0.15</v>
      </c>
    </row>
    <row r="31" ht="22.5" customHeight="1">
      <c r="A31" s="365" t="s">
        <v>923</v>
      </c>
      <c r="B31" s="366" t="s">
        <v>950</v>
      </c>
      <c r="C31" s="367" t="s">
        <v>879</v>
      </c>
      <c r="D31" s="368" t="s">
        <v>733</v>
      </c>
      <c r="E31" s="368" t="s">
        <v>951</v>
      </c>
      <c r="F31" s="367" t="s">
        <v>927</v>
      </c>
      <c r="G31" s="380"/>
      <c r="H31" s="370">
        <f>IFERROR(__xludf.DUMMYFUNCTION("IF(ISBLANK(G31), 0, IF(TRIM(REGEXREPLACE(G31, ""(?i)\be\b|,"", """"))="""", 0, LEN(TRIM(REGEXREPLACE(G31, ""(?i)\be\b|,"", """"))) - LEN(SUBSTITUTE(TRIM(REGEXREPLACE(G31, ""(?i)\be\b|,"", """")), "" "", """")) + 1))"),0.0)</f>
        <v>0</v>
      </c>
      <c r="I31" s="381" t="s">
        <v>896</v>
      </c>
      <c r="J31" s="377" t="s">
        <v>928</v>
      </c>
      <c r="K31" s="373"/>
      <c r="L31" s="374">
        <f t="shared" si="1"/>
        <v>0.1</v>
      </c>
    </row>
    <row r="32" ht="22.5" customHeight="1">
      <c r="A32" s="365" t="s">
        <v>923</v>
      </c>
      <c r="B32" s="365" t="s">
        <v>952</v>
      </c>
      <c r="C32" s="367" t="s">
        <v>879</v>
      </c>
      <c r="D32" s="368" t="s">
        <v>733</v>
      </c>
      <c r="E32" s="368" t="s">
        <v>951</v>
      </c>
      <c r="F32" s="367" t="s">
        <v>927</v>
      </c>
      <c r="G32" s="380"/>
      <c r="H32" s="370">
        <f>IFERROR(__xludf.DUMMYFUNCTION("IF(ISBLANK(G32), 0, IF(TRIM(REGEXREPLACE(G32, ""(?i)\be\b|,"", """"))="""", 0, LEN(TRIM(REGEXREPLACE(G32, ""(?i)\be\b|,"", """"))) - LEN(SUBSTITUTE(TRIM(REGEXREPLACE(G32, ""(?i)\be\b|,"", """")), "" "", """")) + 1))"),0.0)</f>
        <v>0</v>
      </c>
      <c r="I32" s="381" t="s">
        <v>896</v>
      </c>
      <c r="J32" s="377" t="s">
        <v>928</v>
      </c>
      <c r="K32" s="373"/>
      <c r="L32" s="374">
        <f t="shared" si="1"/>
        <v>0.1</v>
      </c>
    </row>
    <row r="33" ht="22.5" customHeight="1">
      <c r="A33" s="365" t="s">
        <v>923</v>
      </c>
      <c r="B33" s="365" t="s">
        <v>953</v>
      </c>
      <c r="C33" s="367" t="s">
        <v>879</v>
      </c>
      <c r="D33" s="368" t="s">
        <v>733</v>
      </c>
      <c r="E33" s="368" t="s">
        <v>951</v>
      </c>
      <c r="F33" s="367" t="s">
        <v>927</v>
      </c>
      <c r="G33" s="380"/>
      <c r="H33" s="370">
        <f>IFERROR(__xludf.DUMMYFUNCTION("IF(ISBLANK(G33), 0, IF(TRIM(REGEXREPLACE(G33, ""(?i)\be\b|,"", """"))="""", 0, LEN(TRIM(REGEXREPLACE(G33, ""(?i)\be\b|,"", """"))) - LEN(SUBSTITUTE(TRIM(REGEXREPLACE(G33, ""(?i)\be\b|,"", """")), "" "", """")) + 1))"),0.0)</f>
        <v>0</v>
      </c>
      <c r="I33" s="381" t="s">
        <v>896</v>
      </c>
      <c r="J33" s="377" t="s">
        <v>928</v>
      </c>
      <c r="K33" s="373"/>
      <c r="L33" s="374">
        <f t="shared" si="1"/>
        <v>0.1</v>
      </c>
    </row>
    <row r="34" ht="22.5" customHeight="1">
      <c r="A34" s="365" t="s">
        <v>891</v>
      </c>
      <c r="B34" s="366" t="s">
        <v>954</v>
      </c>
      <c r="C34" s="367" t="s">
        <v>879</v>
      </c>
      <c r="D34" s="368" t="s">
        <v>880</v>
      </c>
      <c r="E34" s="368" t="s">
        <v>893</v>
      </c>
      <c r="F34" s="367" t="s">
        <v>894</v>
      </c>
      <c r="G34" s="380"/>
      <c r="H34" s="370">
        <f>IFERROR(__xludf.DUMMYFUNCTION("IF(ISBLANK(G34), 0, IF(TRIM(REGEXREPLACE(G34, ""(?i)\be\b|,"", """"))="""", 0, LEN(TRIM(REGEXREPLACE(G34, ""(?i)\be\b|,"", """"))) - LEN(SUBSTITUTE(TRIM(REGEXREPLACE(G34, ""(?i)\be\b|,"", """")), "" "", """")) + 1))"),0.0)</f>
        <v>0</v>
      </c>
      <c r="I34" s="373" t="s">
        <v>896</v>
      </c>
      <c r="J34" s="375" t="s">
        <v>890</v>
      </c>
      <c r="K34" s="371"/>
      <c r="L34" s="374">
        <f t="shared" si="1"/>
        <v>0.1</v>
      </c>
    </row>
    <row r="35" ht="22.5" customHeight="1">
      <c r="A35" s="365" t="s">
        <v>946</v>
      </c>
      <c r="B35" s="366" t="s">
        <v>955</v>
      </c>
      <c r="C35" s="367" t="s">
        <v>879</v>
      </c>
      <c r="D35" s="368" t="s">
        <v>880</v>
      </c>
      <c r="E35" s="368" t="s">
        <v>893</v>
      </c>
      <c r="F35" s="367" t="s">
        <v>894</v>
      </c>
      <c r="G35" s="380"/>
      <c r="H35" s="370">
        <f>IFERROR(__xludf.DUMMYFUNCTION("IF(ISBLANK(G35), 0, IF(TRIM(REGEXREPLACE(G35, ""(?i)\be\b|,"", """"))="""", 0, LEN(TRIM(REGEXREPLACE(G35, ""(?i)\be\b|,"", """"))) - LEN(SUBSTITUTE(TRIM(REGEXREPLACE(G35, ""(?i)\be\b|,"", """")), "" "", """")) + 1))"),0.0)</f>
        <v>0</v>
      </c>
      <c r="I35" s="385" t="s">
        <v>896</v>
      </c>
      <c r="J35" s="377" t="s">
        <v>900</v>
      </c>
      <c r="K35" s="371"/>
      <c r="L35" s="374">
        <f t="shared" si="1"/>
        <v>0.1</v>
      </c>
    </row>
    <row r="36" ht="22.5" customHeight="1">
      <c r="A36" s="365" t="s">
        <v>956</v>
      </c>
      <c r="B36" s="366" t="s">
        <v>957</v>
      </c>
      <c r="C36" s="367" t="s">
        <v>879</v>
      </c>
      <c r="D36" s="368" t="s">
        <v>880</v>
      </c>
      <c r="E36" s="368" t="s">
        <v>893</v>
      </c>
      <c r="F36" s="367" t="s">
        <v>894</v>
      </c>
      <c r="G36" s="380"/>
      <c r="H36" s="370">
        <f>IFERROR(__xludf.DUMMYFUNCTION("IF(ISBLANK(G36), 0, IF(TRIM(REGEXREPLACE(G36, ""(?i)\be\b|,"", """"))="""", 0, LEN(TRIM(REGEXREPLACE(G36, ""(?i)\be\b|,"", """"))) - LEN(SUBSTITUTE(TRIM(REGEXREPLACE(G36, ""(?i)\be\b|,"", """")), "" "", """")) + 1))"),0.0)</f>
        <v>0</v>
      </c>
      <c r="I36" s="385" t="s">
        <v>896</v>
      </c>
      <c r="J36" s="377" t="s">
        <v>900</v>
      </c>
      <c r="K36" s="371"/>
      <c r="L36" s="374">
        <f t="shared" si="1"/>
        <v>0.1</v>
      </c>
    </row>
    <row r="37" ht="22.5" customHeight="1">
      <c r="A37" s="365" t="s">
        <v>958</v>
      </c>
      <c r="B37" s="365" t="s">
        <v>959</v>
      </c>
      <c r="C37" s="367" t="s">
        <v>915</v>
      </c>
      <c r="D37" s="368" t="s">
        <v>880</v>
      </c>
      <c r="E37" s="368" t="s">
        <v>960</v>
      </c>
      <c r="F37" s="368" t="s">
        <v>888</v>
      </c>
      <c r="G37" s="380"/>
      <c r="H37" s="370">
        <f>IFERROR(__xludf.DUMMYFUNCTION("IF(ISBLANK(G37), 0, IF(TRIM(REGEXREPLACE(G37, ""(?i)\be\b|,"", """"))="""", 0, LEN(TRIM(REGEXREPLACE(G37, ""(?i)\be\b|,"", """"))) - LEN(SUBSTITUTE(TRIM(REGEXREPLACE(G37, ""(?i)\be\b|,"", """")), "" "", """")) + 1))"),0.0)</f>
        <v>0</v>
      </c>
      <c r="I37" s="381" t="s">
        <v>896</v>
      </c>
      <c r="J37" s="382" t="s">
        <v>883</v>
      </c>
      <c r="K37" s="371"/>
      <c r="L37" s="374">
        <f t="shared" si="1"/>
        <v>0.1</v>
      </c>
    </row>
    <row r="38" ht="22.5" customHeight="1">
      <c r="A38" s="365" t="s">
        <v>958</v>
      </c>
      <c r="B38" s="366" t="s">
        <v>961</v>
      </c>
      <c r="C38" s="367" t="s">
        <v>915</v>
      </c>
      <c r="D38" s="368" t="s">
        <v>880</v>
      </c>
      <c r="E38" s="368" t="s">
        <v>962</v>
      </c>
      <c r="F38" s="367" t="s">
        <v>894</v>
      </c>
      <c r="G38" s="380"/>
      <c r="H38" s="370">
        <f>IFERROR(__xludf.DUMMYFUNCTION("IF(ISBLANK(G38), 0, IF(TRIM(REGEXREPLACE(G38, ""(?i)\be\b|,"", """"))="""", 0, LEN(TRIM(REGEXREPLACE(G38, ""(?i)\be\b|,"", """"))) - LEN(SUBSTITUTE(TRIM(REGEXREPLACE(G38, ""(?i)\be\b|,"", """")), "" "", """")) + 1))"),0.0)</f>
        <v>0</v>
      </c>
      <c r="I38" s="381" t="s">
        <v>896</v>
      </c>
      <c r="J38" s="382" t="s">
        <v>883</v>
      </c>
      <c r="K38" s="371"/>
      <c r="L38" s="374">
        <f t="shared" si="1"/>
        <v>0.1</v>
      </c>
    </row>
    <row r="39" ht="22.5" customHeight="1">
      <c r="A39" s="365" t="s">
        <v>958</v>
      </c>
      <c r="B39" s="366" t="s">
        <v>963</v>
      </c>
      <c r="C39" s="368" t="s">
        <v>918</v>
      </c>
      <c r="D39" s="368" t="s">
        <v>880</v>
      </c>
      <c r="E39" s="368" t="s">
        <v>960</v>
      </c>
      <c r="F39" s="368" t="s">
        <v>888</v>
      </c>
      <c r="G39" s="380"/>
      <c r="H39" s="370">
        <f>IFERROR(__xludf.DUMMYFUNCTION("IF(ISBLANK(G39), 0, IF(TRIM(REGEXREPLACE(G39, ""(?i)\be\b|,"", """"))="""", 0, LEN(TRIM(REGEXREPLACE(G39, ""(?i)\be\b|,"", """"))) - LEN(SUBSTITUTE(TRIM(REGEXREPLACE(G39, ""(?i)\be\b|,"", """")), "" "", """")) + 1))"),0.0)</f>
        <v>0</v>
      </c>
      <c r="I39" s="381" t="s">
        <v>896</v>
      </c>
      <c r="J39" s="382" t="s">
        <v>883</v>
      </c>
      <c r="K39" s="371"/>
      <c r="L39" s="374">
        <f t="shared" si="1"/>
        <v>0.1</v>
      </c>
    </row>
    <row r="40" ht="22.5" customHeight="1">
      <c r="A40" s="365" t="s">
        <v>958</v>
      </c>
      <c r="B40" s="366" t="s">
        <v>867</v>
      </c>
      <c r="C40" s="367" t="s">
        <v>879</v>
      </c>
      <c r="D40" s="368" t="s">
        <v>880</v>
      </c>
      <c r="E40" s="368" t="s">
        <v>960</v>
      </c>
      <c r="F40" s="368" t="s">
        <v>888</v>
      </c>
      <c r="G40" s="380"/>
      <c r="H40" s="370">
        <f>IFERROR(__xludf.DUMMYFUNCTION("IF(ISBLANK(G40), 0, IF(TRIM(REGEXREPLACE(G40, ""(?i)\be\b|,"", """"))="""", 0, LEN(TRIM(REGEXREPLACE(G40, ""(?i)\be\b|,"", """"))) - LEN(SUBSTITUTE(TRIM(REGEXREPLACE(G40, ""(?i)\be\b|,"", """")), "" "", """")) + 1))"),0.0)</f>
        <v>0</v>
      </c>
      <c r="I40" s="381" t="s">
        <v>896</v>
      </c>
      <c r="J40" s="382" t="s">
        <v>883</v>
      </c>
      <c r="K40" s="371"/>
      <c r="L40" s="374">
        <f t="shared" si="1"/>
        <v>0.1</v>
      </c>
    </row>
    <row r="41" ht="22.5" customHeight="1">
      <c r="A41" s="376" t="s">
        <v>916</v>
      </c>
      <c r="B41" s="376" t="s">
        <v>964</v>
      </c>
      <c r="C41" s="368" t="s">
        <v>932</v>
      </c>
      <c r="D41" s="368" t="s">
        <v>880</v>
      </c>
      <c r="E41" s="368" t="s">
        <v>881</v>
      </c>
      <c r="F41" s="367" t="s">
        <v>60</v>
      </c>
      <c r="G41" s="380"/>
      <c r="H41" s="370">
        <f>IFERROR(__xludf.DUMMYFUNCTION("IF(ISBLANK(G41), 0, IF(TRIM(REGEXREPLACE(G41, ""(?i)\be\b|,"", """"))="""", 0, LEN(TRIM(REGEXREPLACE(G41, ""(?i)\be\b|,"", """"))) - LEN(SUBSTITUTE(TRIM(REGEXREPLACE(G41, ""(?i)\be\b|,"", """")), "" "", """")) + 1))"),0.0)</f>
        <v>0</v>
      </c>
      <c r="I41" s="381" t="s">
        <v>896</v>
      </c>
      <c r="J41" s="382" t="s">
        <v>890</v>
      </c>
      <c r="K41" s="371"/>
      <c r="L41" s="374">
        <f t="shared" si="1"/>
        <v>0.1</v>
      </c>
    </row>
    <row r="42" ht="22.5" customHeight="1">
      <c r="A42" s="376" t="s">
        <v>916</v>
      </c>
      <c r="B42" s="376" t="s">
        <v>965</v>
      </c>
      <c r="C42" s="368" t="s">
        <v>918</v>
      </c>
      <c r="D42" s="368" t="s">
        <v>880</v>
      </c>
      <c r="E42" s="368" t="s">
        <v>881</v>
      </c>
      <c r="F42" s="367" t="s">
        <v>60</v>
      </c>
      <c r="G42" s="380"/>
      <c r="H42" s="370">
        <f>IFERROR(__xludf.DUMMYFUNCTION("IF(ISBLANK(G42), 0, IF(TRIM(REGEXREPLACE(G42, ""(?i)\be\b|,"", """"))="""", 0, LEN(TRIM(REGEXREPLACE(G42, ""(?i)\be\b|,"", """"))) - LEN(SUBSTITUTE(TRIM(REGEXREPLACE(G42, ""(?i)\be\b|,"", """")), "" "", """")) + 1))"),0.0)</f>
        <v>0</v>
      </c>
      <c r="I42" s="381" t="s">
        <v>896</v>
      </c>
      <c r="J42" s="375" t="s">
        <v>890</v>
      </c>
      <c r="K42" s="371"/>
      <c r="L42" s="374">
        <f t="shared" si="1"/>
        <v>0.1</v>
      </c>
    </row>
    <row r="43" ht="22.5" customHeight="1">
      <c r="A43" s="376" t="s">
        <v>916</v>
      </c>
      <c r="B43" s="366" t="s">
        <v>966</v>
      </c>
      <c r="C43" s="368" t="s">
        <v>918</v>
      </c>
      <c r="D43" s="368" t="s">
        <v>880</v>
      </c>
      <c r="E43" s="368" t="s">
        <v>893</v>
      </c>
      <c r="F43" s="367" t="s">
        <v>60</v>
      </c>
      <c r="G43" s="380"/>
      <c r="H43" s="370">
        <f>IFERROR(__xludf.DUMMYFUNCTION("IF(ISBLANK(G43), 0, IF(TRIM(REGEXREPLACE(G43, ""(?i)\be\b|,"", """"))="""", 0, LEN(TRIM(REGEXREPLACE(G43, ""(?i)\be\b|,"", """"))) - LEN(SUBSTITUTE(TRIM(REGEXREPLACE(G43, ""(?i)\be\b|,"", """")), "" "", """")) + 1))"),0.0)</f>
        <v>0</v>
      </c>
      <c r="I43" s="381" t="s">
        <v>896</v>
      </c>
      <c r="J43" s="382" t="s">
        <v>890</v>
      </c>
      <c r="K43" s="371"/>
      <c r="L43" s="374">
        <f t="shared" si="1"/>
        <v>0.1</v>
      </c>
    </row>
    <row r="44" ht="22.5" customHeight="1">
      <c r="A44" s="376" t="s">
        <v>916</v>
      </c>
      <c r="B44" s="366" t="s">
        <v>967</v>
      </c>
      <c r="C44" s="367" t="s">
        <v>932</v>
      </c>
      <c r="D44" s="368" t="s">
        <v>925</v>
      </c>
      <c r="E44" s="368" t="s">
        <v>968</v>
      </c>
      <c r="F44" s="367" t="s">
        <v>60</v>
      </c>
      <c r="G44" s="380"/>
      <c r="H44" s="370">
        <f>IFERROR(__xludf.DUMMYFUNCTION("IF(ISBLANK(G44), 0, IF(TRIM(REGEXREPLACE(G44, ""(?i)\be\b|,"", """"))="""", 0, LEN(TRIM(REGEXREPLACE(G44, ""(?i)\be\b|,"", """"))) - LEN(SUBSTITUTE(TRIM(REGEXREPLACE(G44, ""(?i)\be\b|,"", """")), "" "", """")) + 1))"),0.0)</f>
        <v>0</v>
      </c>
      <c r="I44" s="381"/>
      <c r="J44" s="377" t="s">
        <v>897</v>
      </c>
      <c r="K44" s="371"/>
      <c r="L44" s="374">
        <f t="shared" si="1"/>
        <v>0.1</v>
      </c>
    </row>
    <row r="45" ht="22.5" customHeight="1">
      <c r="A45" s="376" t="s">
        <v>916</v>
      </c>
      <c r="B45" s="366" t="s">
        <v>969</v>
      </c>
      <c r="C45" s="367" t="s">
        <v>932</v>
      </c>
      <c r="D45" s="368" t="s">
        <v>925</v>
      </c>
      <c r="E45" s="368" t="s">
        <v>968</v>
      </c>
      <c r="F45" s="367" t="s">
        <v>60</v>
      </c>
      <c r="G45" s="380"/>
      <c r="H45" s="370">
        <f>IFERROR(__xludf.DUMMYFUNCTION("IF(ISBLANK(G45), 0, IF(TRIM(REGEXREPLACE(G45, ""(?i)\be\b|,"", """"))="""", 0, LEN(TRIM(REGEXREPLACE(G45, ""(?i)\be\b|,"", """"))) - LEN(SUBSTITUTE(TRIM(REGEXREPLACE(G45, ""(?i)\be\b|,"", """")), "" "", """")) + 1))"),0.0)</f>
        <v>0</v>
      </c>
      <c r="I45" s="381"/>
      <c r="J45" s="377" t="s">
        <v>897</v>
      </c>
      <c r="K45" s="371"/>
      <c r="L45" s="374">
        <f t="shared" si="1"/>
        <v>0.1</v>
      </c>
    </row>
    <row r="46" ht="22.5" customHeight="1">
      <c r="A46" s="376" t="s">
        <v>916</v>
      </c>
      <c r="B46" s="366" t="s">
        <v>970</v>
      </c>
      <c r="C46" s="367" t="s">
        <v>932</v>
      </c>
      <c r="D46" s="368" t="s">
        <v>925</v>
      </c>
      <c r="E46" s="368" t="s">
        <v>968</v>
      </c>
      <c r="F46" s="367" t="s">
        <v>60</v>
      </c>
      <c r="G46" s="380"/>
      <c r="H46" s="370">
        <f>IFERROR(__xludf.DUMMYFUNCTION("IF(ISBLANK(G46), 0, IF(TRIM(REGEXREPLACE(G46, ""(?i)\be\b|,"", """"))="""", 0, LEN(TRIM(REGEXREPLACE(G46, ""(?i)\be\b|,"", """"))) - LEN(SUBSTITUTE(TRIM(REGEXREPLACE(G46, ""(?i)\be\b|,"", """")), "" "", """")) + 1))"),0.0)</f>
        <v>0</v>
      </c>
      <c r="I46" s="381"/>
      <c r="J46" s="377" t="s">
        <v>897</v>
      </c>
      <c r="K46" s="371"/>
      <c r="L46" s="374">
        <f t="shared" si="1"/>
        <v>0.1</v>
      </c>
    </row>
    <row r="47" ht="22.5" customHeight="1">
      <c r="A47" s="386" t="s">
        <v>936</v>
      </c>
      <c r="B47" s="387" t="s">
        <v>971</v>
      </c>
      <c r="C47" s="368" t="s">
        <v>918</v>
      </c>
      <c r="D47" s="368" t="s">
        <v>925</v>
      </c>
      <c r="E47" s="368" t="s">
        <v>938</v>
      </c>
      <c r="F47" s="367" t="s">
        <v>60</v>
      </c>
      <c r="G47" s="380"/>
      <c r="H47" s="370">
        <f>IFERROR(__xludf.DUMMYFUNCTION("IF(ISBLANK(G47), 0, IF(TRIM(REGEXREPLACE(G47, ""(?i)\be\b|,"", """"))="""", 0, LEN(TRIM(REGEXREPLACE(G47, ""(?i)\be\b|,"", """"))) - LEN(SUBSTITUTE(TRIM(REGEXREPLACE(G47, ""(?i)\be\b|,"", """")), "" "", """")) + 1))"),0.0)</f>
        <v>0</v>
      </c>
      <c r="I47" s="383"/>
      <c r="J47" s="384" t="s">
        <v>883</v>
      </c>
      <c r="K47" s="371"/>
      <c r="L47" s="374">
        <f t="shared" si="1"/>
        <v>0.1</v>
      </c>
    </row>
    <row r="48" ht="22.5" customHeight="1">
      <c r="A48" s="365" t="s">
        <v>936</v>
      </c>
      <c r="B48" s="366" t="s">
        <v>972</v>
      </c>
      <c r="C48" s="367" t="s">
        <v>932</v>
      </c>
      <c r="D48" s="368" t="s">
        <v>925</v>
      </c>
      <c r="E48" s="368" t="s">
        <v>938</v>
      </c>
      <c r="F48" s="367" t="s">
        <v>60</v>
      </c>
      <c r="G48" s="380"/>
      <c r="H48" s="370">
        <f>IFERROR(__xludf.DUMMYFUNCTION("IF(ISBLANK(G48), 0, IF(TRIM(REGEXREPLACE(G48, ""(?i)\be\b|,"", """"))="""", 0, LEN(TRIM(REGEXREPLACE(G48, ""(?i)\be\b|,"", """"))) - LEN(SUBSTITUTE(TRIM(REGEXREPLACE(G48, ""(?i)\be\b|,"", """")), "" "", """")) + 1))"),0.0)</f>
        <v>0</v>
      </c>
      <c r="I48" s="383"/>
      <c r="J48" s="384" t="s">
        <v>883</v>
      </c>
      <c r="K48" s="371"/>
      <c r="L48" s="374">
        <f t="shared" si="1"/>
        <v>0.1</v>
      </c>
    </row>
    <row r="49" ht="22.5" customHeight="1">
      <c r="A49" s="365" t="s">
        <v>936</v>
      </c>
      <c r="B49" s="366" t="s">
        <v>973</v>
      </c>
      <c r="C49" s="367" t="s">
        <v>932</v>
      </c>
      <c r="D49" s="368" t="s">
        <v>925</v>
      </c>
      <c r="E49" s="368" t="s">
        <v>938</v>
      </c>
      <c r="F49" s="367" t="s">
        <v>60</v>
      </c>
      <c r="G49" s="380"/>
      <c r="H49" s="370">
        <f>IFERROR(__xludf.DUMMYFUNCTION("IF(ISBLANK(G49), 0, IF(TRIM(REGEXREPLACE(G49, ""(?i)\be\b|,"", """"))="""", 0, LEN(TRIM(REGEXREPLACE(G49, ""(?i)\be\b|,"", """"))) - LEN(SUBSTITUTE(TRIM(REGEXREPLACE(G49, ""(?i)\be\b|,"", """")), "" "", """")) + 1))"),0.0)</f>
        <v>0</v>
      </c>
      <c r="I49" s="383"/>
      <c r="J49" s="384" t="s">
        <v>883</v>
      </c>
      <c r="K49" s="371"/>
      <c r="L49" s="374">
        <f t="shared" si="1"/>
        <v>0.1</v>
      </c>
    </row>
    <row r="50" ht="22.5" customHeight="1">
      <c r="A50" s="365" t="s">
        <v>936</v>
      </c>
      <c r="B50" s="366" t="s">
        <v>974</v>
      </c>
      <c r="C50" s="367" t="s">
        <v>932</v>
      </c>
      <c r="D50" s="368" t="s">
        <v>925</v>
      </c>
      <c r="E50" s="368" t="s">
        <v>938</v>
      </c>
      <c r="F50" s="367" t="s">
        <v>60</v>
      </c>
      <c r="G50" s="380"/>
      <c r="H50" s="370">
        <f>IFERROR(__xludf.DUMMYFUNCTION("IF(ISBLANK(G50), 0, IF(TRIM(REGEXREPLACE(G50, ""(?i)\be\b|,"", """"))="""", 0, LEN(TRIM(REGEXREPLACE(G50, ""(?i)\be\b|,"", """"))) - LEN(SUBSTITUTE(TRIM(REGEXREPLACE(G50, ""(?i)\be\b|,"", """")), "" "", """")) + 1))"),0.0)</f>
        <v>0</v>
      </c>
      <c r="I50" s="383"/>
      <c r="J50" s="384" t="s">
        <v>883</v>
      </c>
      <c r="K50" s="371"/>
      <c r="L50" s="374">
        <f t="shared" si="1"/>
        <v>0.1</v>
      </c>
    </row>
    <row r="51" ht="22.5" customHeight="1">
      <c r="A51" s="365" t="s">
        <v>891</v>
      </c>
      <c r="B51" s="366" t="s">
        <v>975</v>
      </c>
      <c r="C51" s="367" t="s">
        <v>879</v>
      </c>
      <c r="D51" s="368" t="s">
        <v>880</v>
      </c>
      <c r="E51" s="368" t="s">
        <v>893</v>
      </c>
      <c r="F51" s="367" t="s">
        <v>894</v>
      </c>
      <c r="G51" s="380" t="s">
        <v>976</v>
      </c>
      <c r="H51" s="370">
        <f>IFERROR(__xludf.DUMMYFUNCTION("IF(ISBLANK(G51), 0, IF(TRIM(REGEXREPLACE(G51, ""(?i)\be\b|,"", """"))="""", 0, LEN(TRIM(REGEXREPLACE(G51, ""(?i)\be\b|,"", """"))) - LEN(SUBSTITUTE(TRIM(REGEXREPLACE(G51, ""(?i)\be\b|,"", """")), "" "", """")) + 1))"),1.0)</f>
        <v>1</v>
      </c>
      <c r="I51" s="371"/>
      <c r="J51" s="375" t="s">
        <v>890</v>
      </c>
      <c r="K51" s="371"/>
      <c r="L51" s="374">
        <f t="shared" si="1"/>
        <v>0.05</v>
      </c>
    </row>
    <row r="52" ht="22.5" customHeight="1">
      <c r="A52" s="365" t="s">
        <v>891</v>
      </c>
      <c r="B52" s="366" t="s">
        <v>309</v>
      </c>
      <c r="C52" s="367" t="s">
        <v>879</v>
      </c>
      <c r="D52" s="368" t="s">
        <v>399</v>
      </c>
      <c r="E52" s="368" t="s">
        <v>940</v>
      </c>
      <c r="F52" s="367" t="s">
        <v>977</v>
      </c>
      <c r="G52" s="380" t="s">
        <v>733</v>
      </c>
      <c r="H52" s="370">
        <f>IFERROR(__xludf.DUMMYFUNCTION("IF(ISBLANK(G52), 0, IF(TRIM(REGEXREPLACE(G52, ""(?i)\be\b|,"", """"))="""", 0, LEN(TRIM(REGEXREPLACE(G52, ""(?i)\be\b|,"", """"))) - LEN(SUBSTITUTE(TRIM(REGEXREPLACE(G52, ""(?i)\be\b|,"", """")), "" "", """")) + 1))"),1.0)</f>
        <v>1</v>
      </c>
      <c r="I52" s="371"/>
      <c r="J52" s="375" t="s">
        <v>890</v>
      </c>
      <c r="K52" s="371"/>
      <c r="L52" s="374">
        <f t="shared" si="1"/>
        <v>0.05</v>
      </c>
    </row>
    <row r="53" ht="22.5" customHeight="1">
      <c r="A53" s="386" t="s">
        <v>946</v>
      </c>
      <c r="B53" s="387" t="s">
        <v>978</v>
      </c>
      <c r="C53" s="367" t="s">
        <v>879</v>
      </c>
      <c r="D53" s="368" t="s">
        <v>399</v>
      </c>
      <c r="E53" s="368" t="s">
        <v>940</v>
      </c>
      <c r="F53" s="367" t="s">
        <v>977</v>
      </c>
      <c r="G53" s="380" t="s">
        <v>733</v>
      </c>
      <c r="H53" s="370">
        <f>IFERROR(__xludf.DUMMYFUNCTION("IF(ISBLANK(G53), 0, IF(TRIM(REGEXREPLACE(G53, ""(?i)\be\b|,"", """"))="""", 0, LEN(TRIM(REGEXREPLACE(G53, ""(?i)\be\b|,"", """"))) - LEN(SUBSTITUTE(TRIM(REGEXREPLACE(G53, ""(?i)\be\b|,"", """")), "" "", """")) + 1))"),1.0)</f>
        <v>1</v>
      </c>
      <c r="I53" s="383"/>
      <c r="J53" s="384" t="s">
        <v>890</v>
      </c>
      <c r="K53" s="371"/>
      <c r="L53" s="374">
        <f t="shared" si="1"/>
        <v>0.05</v>
      </c>
    </row>
    <row r="54" ht="22.5" customHeight="1">
      <c r="A54" s="365" t="s">
        <v>946</v>
      </c>
      <c r="B54" s="387" t="s">
        <v>979</v>
      </c>
      <c r="C54" s="368" t="s">
        <v>879</v>
      </c>
      <c r="D54" s="368" t="s">
        <v>399</v>
      </c>
      <c r="E54" s="368" t="s">
        <v>940</v>
      </c>
      <c r="F54" s="367" t="s">
        <v>977</v>
      </c>
      <c r="G54" s="380" t="s">
        <v>733</v>
      </c>
      <c r="H54" s="370">
        <f>IFERROR(__xludf.DUMMYFUNCTION("IF(ISBLANK(G54), 0, IF(TRIM(REGEXREPLACE(G54, ""(?i)\be\b|,"", """"))="""", 0, LEN(TRIM(REGEXREPLACE(G54, ""(?i)\be\b|,"", """"))) - LEN(SUBSTITUTE(TRIM(REGEXREPLACE(G54, ""(?i)\be\b|,"", """")), "" "", """")) + 1))"),1.0)</f>
        <v>1</v>
      </c>
      <c r="I54" s="383"/>
      <c r="J54" s="384" t="s">
        <v>890</v>
      </c>
      <c r="K54" s="371"/>
      <c r="L54" s="374">
        <f t="shared" si="1"/>
        <v>0.05</v>
      </c>
    </row>
    <row r="55" ht="22.5" customHeight="1">
      <c r="A55" s="365" t="s">
        <v>946</v>
      </c>
      <c r="B55" s="376" t="s">
        <v>980</v>
      </c>
      <c r="C55" s="368" t="s">
        <v>932</v>
      </c>
      <c r="D55" s="368" t="s">
        <v>399</v>
      </c>
      <c r="E55" s="368" t="s">
        <v>940</v>
      </c>
      <c r="F55" s="367" t="s">
        <v>977</v>
      </c>
      <c r="G55" s="380" t="s">
        <v>733</v>
      </c>
      <c r="H55" s="370">
        <f>IFERROR(__xludf.DUMMYFUNCTION("IF(ISBLANK(G55), 0, IF(TRIM(REGEXREPLACE(G55, ""(?i)\be\b|,"", """"))="""", 0, LEN(TRIM(REGEXREPLACE(G55, ""(?i)\be\b|,"", """"))) - LEN(SUBSTITUTE(TRIM(REGEXREPLACE(G55, ""(?i)\be\b|,"", """")), "" "", """")) + 1))"),1.0)</f>
        <v>1</v>
      </c>
      <c r="I55" s="371"/>
      <c r="J55" s="384" t="s">
        <v>890</v>
      </c>
      <c r="K55" s="371"/>
      <c r="L55" s="374">
        <f t="shared" si="1"/>
        <v>0.05</v>
      </c>
    </row>
    <row r="56" ht="22.5" customHeight="1">
      <c r="A56" s="386" t="s">
        <v>946</v>
      </c>
      <c r="B56" s="387" t="s">
        <v>981</v>
      </c>
      <c r="C56" s="367" t="s">
        <v>932</v>
      </c>
      <c r="D56" s="368" t="s">
        <v>399</v>
      </c>
      <c r="E56" s="368" t="s">
        <v>940</v>
      </c>
      <c r="F56" s="367" t="s">
        <v>977</v>
      </c>
      <c r="G56" s="380" t="s">
        <v>733</v>
      </c>
      <c r="H56" s="370">
        <f>IFERROR(__xludf.DUMMYFUNCTION("IF(ISBLANK(G56), 0, IF(TRIM(REGEXREPLACE(G56, ""(?i)\be\b|,"", """"))="""", 0, LEN(TRIM(REGEXREPLACE(G56, ""(?i)\be\b|,"", """"))) - LEN(SUBSTITUTE(TRIM(REGEXREPLACE(G56, ""(?i)\be\b|,"", """")), "" "", """")) + 1))"),1.0)</f>
        <v>1</v>
      </c>
      <c r="I56" s="383"/>
      <c r="J56" s="384" t="s">
        <v>890</v>
      </c>
      <c r="K56" s="371"/>
      <c r="L56" s="374">
        <f t="shared" si="1"/>
        <v>0.05</v>
      </c>
    </row>
    <row r="57" ht="22.5" customHeight="1">
      <c r="A57" s="365" t="s">
        <v>946</v>
      </c>
      <c r="B57" s="366" t="s">
        <v>982</v>
      </c>
      <c r="C57" s="367" t="s">
        <v>932</v>
      </c>
      <c r="D57" s="368" t="s">
        <v>399</v>
      </c>
      <c r="E57" s="368" t="s">
        <v>940</v>
      </c>
      <c r="F57" s="367" t="s">
        <v>977</v>
      </c>
      <c r="G57" s="380" t="s">
        <v>733</v>
      </c>
      <c r="H57" s="370">
        <f>IFERROR(__xludf.DUMMYFUNCTION("IF(ISBLANK(G57), 0, IF(TRIM(REGEXREPLACE(G57, ""(?i)\be\b|,"", """"))="""", 0, LEN(TRIM(REGEXREPLACE(G57, ""(?i)\be\b|,"", """"))) - LEN(SUBSTITUTE(TRIM(REGEXREPLACE(G57, ""(?i)\be\b|,"", """")), "" "", """")) + 1))"),1.0)</f>
        <v>1</v>
      </c>
      <c r="I57" s="371"/>
      <c r="J57" s="384" t="s">
        <v>890</v>
      </c>
      <c r="K57" s="371"/>
      <c r="L57" s="374">
        <f t="shared" si="1"/>
        <v>0.05</v>
      </c>
    </row>
    <row r="58" ht="22.5" customHeight="1">
      <c r="A58" s="365" t="s">
        <v>956</v>
      </c>
      <c r="B58" s="366" t="s">
        <v>983</v>
      </c>
      <c r="C58" s="367" t="s">
        <v>879</v>
      </c>
      <c r="D58" s="368" t="s">
        <v>880</v>
      </c>
      <c r="E58" s="368" t="s">
        <v>893</v>
      </c>
      <c r="F58" s="367" t="s">
        <v>894</v>
      </c>
      <c r="G58" s="380" t="s">
        <v>733</v>
      </c>
      <c r="H58" s="370">
        <f>IFERROR(__xludf.DUMMYFUNCTION("IF(ISBLANK(G58), 0, IF(TRIM(REGEXREPLACE(G58, ""(?i)\be\b|,"", """"))="""", 0, LEN(TRIM(REGEXREPLACE(G58, ""(?i)\be\b|,"", """"))) - LEN(SUBSTITUTE(TRIM(REGEXREPLACE(G58, ""(?i)\be\b|,"", """")), "" "", """")) + 1))"),1.0)</f>
        <v>1</v>
      </c>
      <c r="I58" s="388"/>
      <c r="J58" s="377" t="s">
        <v>900</v>
      </c>
      <c r="K58" s="371"/>
      <c r="L58" s="374">
        <f t="shared" si="1"/>
        <v>0.05</v>
      </c>
    </row>
    <row r="59" ht="22.5" customHeight="1">
      <c r="A59" s="376" t="s">
        <v>916</v>
      </c>
      <c r="B59" s="366" t="s">
        <v>984</v>
      </c>
      <c r="C59" s="367" t="s">
        <v>879</v>
      </c>
      <c r="D59" s="368" t="s">
        <v>399</v>
      </c>
      <c r="E59" s="368" t="s">
        <v>940</v>
      </c>
      <c r="F59" s="367" t="s">
        <v>60</v>
      </c>
      <c r="G59" s="380"/>
      <c r="H59" s="370">
        <f>IFERROR(__xludf.DUMMYFUNCTION("IF(ISBLANK(G59), 0, IF(TRIM(REGEXREPLACE(G59, ""(?i)\be\b|,"", """"))="""", 0, LEN(TRIM(REGEXREPLACE(G59, ""(?i)\be\b|,"", """"))) - LEN(SUBSTITUTE(TRIM(REGEXREPLACE(G59, ""(?i)\be\b|,"", """")), "" "", """")) + 1))"),0.0)</f>
        <v>0</v>
      </c>
      <c r="I59" s="381"/>
      <c r="J59" s="382" t="s">
        <v>890</v>
      </c>
      <c r="K59" s="371"/>
      <c r="L59" s="374">
        <f t="shared" si="1"/>
        <v>0</v>
      </c>
    </row>
    <row r="60" ht="22.5" customHeight="1">
      <c r="A60" s="376" t="s">
        <v>891</v>
      </c>
      <c r="B60" s="366" t="s">
        <v>985</v>
      </c>
      <c r="C60" s="367" t="s">
        <v>915</v>
      </c>
      <c r="D60" s="368" t="s">
        <v>880</v>
      </c>
      <c r="E60" s="368" t="s">
        <v>893</v>
      </c>
      <c r="F60" s="367" t="s">
        <v>894</v>
      </c>
      <c r="G60" s="380"/>
      <c r="H60" s="370">
        <f>IFERROR(__xludf.DUMMYFUNCTION("IF(ISBLANK(G60), 0, IF(TRIM(REGEXREPLACE(G60, ""(?i)\be\b|,"", """"))="""", 0, LEN(TRIM(REGEXREPLACE(G60, ""(?i)\be\b|,"", """"))) - LEN(SUBSTITUTE(TRIM(REGEXREPLACE(G60, ""(?i)\be\b|,"", """")), "" "", """")) + 1))"),0.0)</f>
        <v>0</v>
      </c>
      <c r="I60" s="371"/>
      <c r="J60" s="377" t="s">
        <v>900</v>
      </c>
      <c r="K60" s="371"/>
      <c r="L60" s="374">
        <f t="shared" si="1"/>
        <v>0</v>
      </c>
    </row>
    <row r="61" ht="22.5" customHeight="1">
      <c r="A61" s="376" t="s">
        <v>891</v>
      </c>
      <c r="B61" s="366" t="s">
        <v>986</v>
      </c>
      <c r="C61" s="367" t="s">
        <v>879</v>
      </c>
      <c r="D61" s="368" t="s">
        <v>880</v>
      </c>
      <c r="E61" s="368" t="s">
        <v>893</v>
      </c>
      <c r="F61" s="367" t="s">
        <v>894</v>
      </c>
      <c r="G61" s="380"/>
      <c r="H61" s="370">
        <f>IFERROR(__xludf.DUMMYFUNCTION("IF(ISBLANK(G61), 0, IF(TRIM(REGEXREPLACE(G61, ""(?i)\be\b|,"", """"))="""", 0, LEN(TRIM(REGEXREPLACE(G61, ""(?i)\be\b|,"", """"))) - LEN(SUBSTITUTE(TRIM(REGEXREPLACE(G61, ""(?i)\be\b|,"", """")), "" "", """")) + 1))"),0.0)</f>
        <v>0</v>
      </c>
      <c r="I61" s="371"/>
      <c r="J61" s="377" t="s">
        <v>900</v>
      </c>
      <c r="K61" s="373"/>
      <c r="L61" s="374">
        <f t="shared" si="1"/>
        <v>0</v>
      </c>
    </row>
    <row r="62" ht="22.5" customHeight="1">
      <c r="A62" s="376" t="s">
        <v>891</v>
      </c>
      <c r="B62" s="387" t="s">
        <v>987</v>
      </c>
      <c r="C62" s="367" t="s">
        <v>932</v>
      </c>
      <c r="D62" s="368" t="s">
        <v>880</v>
      </c>
      <c r="E62" s="368" t="s">
        <v>893</v>
      </c>
      <c r="F62" s="367" t="s">
        <v>894</v>
      </c>
      <c r="G62" s="380"/>
      <c r="H62" s="370">
        <f>IFERROR(__xludf.DUMMYFUNCTION("IF(ISBLANK(G62), 0, IF(TRIM(REGEXREPLACE(G62, ""(?i)\be\b|,"", """"))="""", 0, LEN(TRIM(REGEXREPLACE(G62, ""(?i)\be\b|,"", """"))) - LEN(SUBSTITUTE(TRIM(REGEXREPLACE(G62, ""(?i)\be\b|,"", """")), "" "", """")) + 1))"),0.0)</f>
        <v>0</v>
      </c>
      <c r="I62" s="383"/>
      <c r="J62" s="377" t="s">
        <v>900</v>
      </c>
      <c r="K62" s="371"/>
      <c r="L62" s="374">
        <f t="shared" si="1"/>
        <v>0</v>
      </c>
    </row>
    <row r="63" ht="22.5" customHeight="1">
      <c r="A63" s="376" t="s">
        <v>877</v>
      </c>
      <c r="B63" s="376" t="s">
        <v>988</v>
      </c>
      <c r="C63" s="367" t="s">
        <v>879</v>
      </c>
      <c r="D63" s="368" t="s">
        <v>880</v>
      </c>
      <c r="E63" s="368" t="s">
        <v>893</v>
      </c>
      <c r="F63" s="367" t="s">
        <v>60</v>
      </c>
      <c r="G63" s="380"/>
      <c r="H63" s="370">
        <f>IFERROR(__xludf.DUMMYFUNCTION("IF(ISBLANK(G63), 0, IF(TRIM(REGEXREPLACE(G63, ""(?i)\be\b|,"", """"))="""", 0, LEN(TRIM(REGEXREPLACE(G63, ""(?i)\be\b|,"", """"))) - LEN(SUBSTITUTE(TRIM(REGEXREPLACE(G63, ""(?i)\be\b|,"", """")), "" "", """")) + 1))"),0.0)</f>
        <v>0</v>
      </c>
      <c r="I63" s="371"/>
      <c r="J63" s="372" t="s">
        <v>883</v>
      </c>
      <c r="K63" s="371"/>
      <c r="L63" s="374">
        <f t="shared" si="1"/>
        <v>0</v>
      </c>
    </row>
    <row r="64" ht="22.5" customHeight="1">
      <c r="A64" s="376" t="s">
        <v>877</v>
      </c>
      <c r="B64" s="387" t="s">
        <v>989</v>
      </c>
      <c r="C64" s="367" t="s">
        <v>879</v>
      </c>
      <c r="D64" s="368" t="s">
        <v>399</v>
      </c>
      <c r="E64" s="368" t="s">
        <v>940</v>
      </c>
      <c r="F64" s="367" t="s">
        <v>60</v>
      </c>
      <c r="G64" s="380"/>
      <c r="H64" s="370">
        <f>IFERROR(__xludf.DUMMYFUNCTION("IF(ISBLANK(G64), 0, IF(TRIM(REGEXREPLACE(G64, ""(?i)\be\b|,"", """"))="""", 0, LEN(TRIM(REGEXREPLACE(G64, ""(?i)\be\b|,"", """"))) - LEN(SUBSTITUTE(TRIM(REGEXREPLACE(G64, ""(?i)\be\b|,"", """")), "" "", """")) + 1))"),0.0)</f>
        <v>0</v>
      </c>
      <c r="I64" s="371"/>
      <c r="J64" s="372" t="s">
        <v>883</v>
      </c>
      <c r="K64" s="371"/>
      <c r="L64" s="374">
        <f t="shared" si="1"/>
        <v>0</v>
      </c>
    </row>
    <row r="65" ht="22.5" customHeight="1">
      <c r="A65" s="365" t="s">
        <v>877</v>
      </c>
      <c r="B65" s="366" t="s">
        <v>990</v>
      </c>
      <c r="C65" s="367" t="s">
        <v>879</v>
      </c>
      <c r="D65" s="368" t="s">
        <v>880</v>
      </c>
      <c r="E65" s="368" t="s">
        <v>991</v>
      </c>
      <c r="F65" s="367" t="s">
        <v>60</v>
      </c>
      <c r="G65" s="380"/>
      <c r="H65" s="370">
        <f>IFERROR(__xludf.DUMMYFUNCTION("IF(ISBLANK(G65), 0, IF(TRIM(REGEXREPLACE(G65, ""(?i)\be\b|,"", """"))="""", 0, LEN(TRIM(REGEXREPLACE(G65, ""(?i)\be\b|,"", """"))) - LEN(SUBSTITUTE(TRIM(REGEXREPLACE(G65, ""(?i)\be\b|,"", """")), "" "", """")) + 1))"),0.0)</f>
        <v>0</v>
      </c>
      <c r="I65" s="371"/>
      <c r="J65" s="372" t="s">
        <v>883</v>
      </c>
      <c r="K65" s="371"/>
      <c r="L65" s="374">
        <f t="shared" si="1"/>
        <v>0</v>
      </c>
    </row>
    <row r="66" ht="22.5" customHeight="1">
      <c r="A66" s="365" t="s">
        <v>877</v>
      </c>
      <c r="B66" s="376" t="s">
        <v>992</v>
      </c>
      <c r="C66" s="367" t="s">
        <v>879</v>
      </c>
      <c r="D66" s="368" t="s">
        <v>880</v>
      </c>
      <c r="E66" s="368" t="s">
        <v>991</v>
      </c>
      <c r="F66" s="367" t="s">
        <v>60</v>
      </c>
      <c r="G66" s="380"/>
      <c r="H66" s="370">
        <f>IFERROR(__xludf.DUMMYFUNCTION("IF(ISBLANK(G66), 0, IF(TRIM(REGEXREPLACE(G66, ""(?i)\be\b|,"", """"))="""", 0, LEN(TRIM(REGEXREPLACE(G66, ""(?i)\be\b|,"", """"))) - LEN(SUBSTITUTE(TRIM(REGEXREPLACE(G66, ""(?i)\be\b|,"", """")), "" "", """")) + 1))"),0.0)</f>
        <v>0</v>
      </c>
      <c r="I66" s="371"/>
      <c r="J66" s="372" t="s">
        <v>883</v>
      </c>
      <c r="K66" s="371"/>
      <c r="L66" s="374">
        <f t="shared" si="1"/>
        <v>0</v>
      </c>
    </row>
    <row r="67" ht="22.5" customHeight="1">
      <c r="A67" s="376" t="s">
        <v>930</v>
      </c>
      <c r="B67" s="376" t="s">
        <v>993</v>
      </c>
      <c r="C67" s="367" t="s">
        <v>932</v>
      </c>
      <c r="D67" s="368" t="s">
        <v>880</v>
      </c>
      <c r="E67" s="368" t="s">
        <v>893</v>
      </c>
      <c r="F67" s="368" t="s">
        <v>894</v>
      </c>
      <c r="G67" s="380"/>
      <c r="H67" s="370">
        <f>IFERROR(__xludf.DUMMYFUNCTION("IF(ISBLANK(G67), 0, IF(TRIM(REGEXREPLACE(G67, ""(?i)\be\b|,"", """"))="""", 0, LEN(TRIM(REGEXREPLACE(G67, ""(?i)\be\b|,"", """"))) - LEN(SUBSTITUTE(TRIM(REGEXREPLACE(G67, ""(?i)\be\b|,"", """")), "" "", """")) + 1))"),0.0)</f>
        <v>0</v>
      </c>
      <c r="I67" s="371"/>
      <c r="J67" s="378" t="s">
        <v>900</v>
      </c>
      <c r="K67" s="371"/>
      <c r="L67" s="374">
        <f t="shared" si="1"/>
        <v>0</v>
      </c>
    </row>
    <row r="68" ht="22.5" customHeight="1">
      <c r="A68" s="376" t="s">
        <v>930</v>
      </c>
      <c r="B68" s="366" t="s">
        <v>994</v>
      </c>
      <c r="C68" s="367" t="s">
        <v>932</v>
      </c>
      <c r="D68" s="368" t="s">
        <v>880</v>
      </c>
      <c r="E68" s="368" t="s">
        <v>893</v>
      </c>
      <c r="F68" s="367" t="s">
        <v>888</v>
      </c>
      <c r="G68" s="380"/>
      <c r="H68" s="370">
        <f>IFERROR(__xludf.DUMMYFUNCTION("IF(ISBLANK(G68), 0, IF(TRIM(REGEXREPLACE(G68, ""(?i)\be\b|,"", """"))="""", 0, LEN(TRIM(REGEXREPLACE(G68, ""(?i)\be\b|,"", """"))) - LEN(SUBSTITUTE(TRIM(REGEXREPLACE(G68, ""(?i)\be\b|,"", """")), "" "", """")) + 1))"),0.0)</f>
        <v>0</v>
      </c>
      <c r="I68" s="371"/>
      <c r="J68" s="372" t="s">
        <v>883</v>
      </c>
      <c r="K68" s="371"/>
      <c r="L68" s="374">
        <f t="shared" si="1"/>
        <v>0</v>
      </c>
    </row>
    <row r="69" ht="22.5" customHeight="1">
      <c r="A69" s="376" t="s">
        <v>930</v>
      </c>
      <c r="B69" s="366" t="s">
        <v>995</v>
      </c>
      <c r="C69" s="367" t="s">
        <v>932</v>
      </c>
      <c r="D69" s="368" t="s">
        <v>880</v>
      </c>
      <c r="E69" s="368" t="s">
        <v>887</v>
      </c>
      <c r="F69" s="368" t="s">
        <v>894</v>
      </c>
      <c r="G69" s="380"/>
      <c r="H69" s="370">
        <f>IFERROR(__xludf.DUMMYFUNCTION("IF(ISBLANK(G69), 0, IF(TRIM(REGEXREPLACE(G69, ""(?i)\be\b|,"", """"))="""", 0, LEN(TRIM(REGEXREPLACE(G69, ""(?i)\be\b|,"", """"))) - LEN(SUBSTITUTE(TRIM(REGEXREPLACE(G69, ""(?i)\be\b|,"", """")), "" "", """")) + 1))"),0.0)</f>
        <v>0</v>
      </c>
      <c r="I69" s="371"/>
      <c r="J69" s="372" t="s">
        <v>883</v>
      </c>
      <c r="K69" s="371"/>
      <c r="L69" s="374">
        <f t="shared" si="1"/>
        <v>0</v>
      </c>
    </row>
    <row r="70" ht="22.5" customHeight="1">
      <c r="A70" s="365" t="s">
        <v>946</v>
      </c>
      <c r="B70" s="366" t="s">
        <v>996</v>
      </c>
      <c r="C70" s="367" t="s">
        <v>879</v>
      </c>
      <c r="D70" s="368" t="s">
        <v>880</v>
      </c>
      <c r="E70" s="368" t="s">
        <v>893</v>
      </c>
      <c r="F70" s="367" t="s">
        <v>894</v>
      </c>
      <c r="G70" s="380"/>
      <c r="H70" s="370">
        <f>IFERROR(__xludf.DUMMYFUNCTION("IF(ISBLANK(G70), 0, IF(TRIM(REGEXREPLACE(G70, ""(?i)\be\b|,"", """"))="""", 0, LEN(TRIM(REGEXREPLACE(G70, ""(?i)\be\b|,"", """"))) - LEN(SUBSTITUTE(TRIM(REGEXREPLACE(G70, ""(?i)\be\b|,"", """")), "" "", """")) + 1))"),0.0)</f>
        <v>0</v>
      </c>
      <c r="I70" s="388"/>
      <c r="J70" s="377" t="s">
        <v>900</v>
      </c>
      <c r="K70" s="371"/>
      <c r="L70" s="374">
        <f t="shared" si="1"/>
        <v>0</v>
      </c>
    </row>
    <row r="71" ht="22.5" customHeight="1">
      <c r="A71" s="365" t="s">
        <v>885</v>
      </c>
      <c r="B71" s="376" t="s">
        <v>41</v>
      </c>
      <c r="C71" s="367" t="s">
        <v>879</v>
      </c>
      <c r="D71" s="368" t="s">
        <v>997</v>
      </c>
      <c r="E71" s="368" t="s">
        <v>998</v>
      </c>
      <c r="F71" s="368" t="s">
        <v>977</v>
      </c>
      <c r="G71" s="380"/>
      <c r="H71" s="370">
        <f>IFERROR(__xludf.DUMMYFUNCTION("IF(ISBLANK(G71), 0, IF(TRIM(REGEXREPLACE(G71, ""(?i)\be\b|,"", """"))="""", 0, LEN(TRIM(REGEXREPLACE(G71, ""(?i)\be\b|,"", """"))) - LEN(SUBSTITUTE(TRIM(REGEXREPLACE(G71, ""(?i)\be\b|,"", """")), "" "", """")) + 1))"),0.0)</f>
        <v>0</v>
      </c>
      <c r="I71" s="371"/>
      <c r="J71" s="378" t="s">
        <v>883</v>
      </c>
      <c r="K71" s="371"/>
      <c r="L71" s="374">
        <f t="shared" si="1"/>
        <v>0</v>
      </c>
    </row>
    <row r="72" ht="22.5" customHeight="1">
      <c r="A72" s="386" t="s">
        <v>885</v>
      </c>
      <c r="B72" s="376" t="s">
        <v>434</v>
      </c>
      <c r="C72" s="367" t="s">
        <v>879</v>
      </c>
      <c r="D72" s="389"/>
      <c r="E72" s="367"/>
      <c r="F72" s="367"/>
      <c r="G72" s="380"/>
      <c r="H72" s="370">
        <f>IFERROR(__xludf.DUMMYFUNCTION("IF(ISBLANK(G72), 0, IF(TRIM(REGEXREPLACE(G72, ""(?i)\be\b|,"", """"))="""", 0, LEN(TRIM(REGEXREPLACE(G72, ""(?i)\be\b|,"", """"))) - LEN(SUBSTITUTE(TRIM(REGEXREPLACE(G72, ""(?i)\be\b|,"", """")), "" "", """")) + 1))"),0.0)</f>
        <v>0</v>
      </c>
      <c r="I72" s="383"/>
      <c r="J72" s="378" t="s">
        <v>883</v>
      </c>
      <c r="K72" s="371"/>
      <c r="L72" s="374">
        <f t="shared" si="1"/>
        <v>0</v>
      </c>
    </row>
    <row r="73" ht="22.5" customHeight="1">
      <c r="A73" s="365" t="s">
        <v>956</v>
      </c>
      <c r="B73" s="366" t="s">
        <v>999</v>
      </c>
      <c r="C73" s="367" t="s">
        <v>879</v>
      </c>
      <c r="D73" s="368" t="s">
        <v>880</v>
      </c>
      <c r="E73" s="368" t="s">
        <v>893</v>
      </c>
      <c r="F73" s="367" t="s">
        <v>894</v>
      </c>
      <c r="G73" s="380"/>
      <c r="H73" s="370">
        <f>IFERROR(__xludf.DUMMYFUNCTION("IF(ISBLANK(G73), 0, IF(TRIM(REGEXREPLACE(G73, ""(?i)\be\b|,"", """"))="""", 0, LEN(TRIM(REGEXREPLACE(G73, ""(?i)\be\b|,"", """"))) - LEN(SUBSTITUTE(TRIM(REGEXREPLACE(G73, ""(?i)\be\b|,"", """")), "" "", """")) + 1))"),0.0)</f>
        <v>0</v>
      </c>
      <c r="I73" s="388"/>
      <c r="J73" s="377" t="s">
        <v>900</v>
      </c>
      <c r="K73" s="371"/>
      <c r="L73" s="374">
        <f t="shared" si="1"/>
        <v>0</v>
      </c>
    </row>
    <row r="74" ht="22.5" customHeight="1">
      <c r="A74" s="386" t="s">
        <v>956</v>
      </c>
      <c r="B74" s="387" t="s">
        <v>1000</v>
      </c>
      <c r="C74" s="367" t="s">
        <v>879</v>
      </c>
      <c r="D74" s="368" t="s">
        <v>399</v>
      </c>
      <c r="E74" s="368" t="s">
        <v>940</v>
      </c>
      <c r="F74" s="367" t="s">
        <v>977</v>
      </c>
      <c r="G74" s="380"/>
      <c r="H74" s="370">
        <f>IFERROR(__xludf.DUMMYFUNCTION("IF(ISBLANK(G74), 0, IF(TRIM(REGEXREPLACE(G74, ""(?i)\be\b|,"", """"))="""", 0, LEN(TRIM(REGEXREPLACE(G74, ""(?i)\be\b|,"", """"))) - LEN(SUBSTITUTE(TRIM(REGEXREPLACE(G74, ""(?i)\be\b|,"", """")), "" "", """")) + 1))"),0.0)</f>
        <v>0</v>
      </c>
      <c r="I74" s="383"/>
      <c r="J74" s="377" t="s">
        <v>897</v>
      </c>
      <c r="K74" s="371"/>
      <c r="L74" s="374">
        <f t="shared" si="1"/>
        <v>0</v>
      </c>
    </row>
    <row r="75" ht="22.5" customHeight="1">
      <c r="A75" s="365" t="s">
        <v>958</v>
      </c>
      <c r="B75" s="366" t="s">
        <v>1001</v>
      </c>
      <c r="C75" s="367" t="s">
        <v>915</v>
      </c>
      <c r="D75" s="368" t="s">
        <v>880</v>
      </c>
      <c r="E75" s="368" t="s">
        <v>962</v>
      </c>
      <c r="F75" s="367" t="s">
        <v>894</v>
      </c>
      <c r="G75" s="380"/>
      <c r="H75" s="370">
        <f>IFERROR(__xludf.DUMMYFUNCTION("IF(ISBLANK(G75), 0, IF(TRIM(REGEXREPLACE(G75, ""(?i)\be\b|,"", """"))="""", 0, LEN(TRIM(REGEXREPLACE(G75, ""(?i)\be\b|,"", """"))) - LEN(SUBSTITUTE(TRIM(REGEXREPLACE(G75, ""(?i)\be\b|,"", """")), "" "", """")) + 1))"),0.0)</f>
        <v>0</v>
      </c>
      <c r="I75" s="381"/>
      <c r="J75" s="382" t="s">
        <v>883</v>
      </c>
      <c r="K75" s="371"/>
      <c r="L75" s="374">
        <f t="shared" si="1"/>
        <v>0</v>
      </c>
    </row>
  </sheetData>
  <dataValidations>
    <dataValidation type="list" allowBlank="1" sqref="F2:F75">
      <formula1>"HRBPs,POPs,TR,Controladoria,PAS,PP,CT&amp;D,Acessos"</formula1>
    </dataValidation>
    <dataValidation type="list" allowBlank="1" sqref="E2:E75">
      <formula1>"API: Tabela Cargos,API: Tabela Colaborador,Tabela Benefícios,API: Tabela Salarial,Tabela Orçamento,Tabela QR,Tabela ILP,API: Tabela de Movimentações Salariais,API: Tabela Hierarquia,API: Tabela Afastamentos,Tabela People Allocation,Lógica Calculada,Tabela"&amp;" Key Talents"</formula1>
    </dataValidation>
    <dataValidation type="list" allowBlank="1" sqref="K2:K75">
      <formula1>"sim"</formula1>
    </dataValidation>
    <dataValidation type="list" allowBlank="1" sqref="D2:D75">
      <formula1>"TeamGuide,LG,Lever,PRIS,Data Lake,Excel,People Allocation"</formula1>
    </dataValidation>
    <dataValidation type="list" allowBlank="1" sqref="I2:I75">
      <formula1>"Sensível"</formula1>
    </dataValidation>
    <dataValidation type="list" allowBlank="1" sqref="J2:J75">
      <formula1>"Mensal,Na admissão,Semestral,Pontualmente,Semanal,A cada 15 dias,Diário"</formula1>
    </dataValidation>
    <dataValidation type="custom" allowBlank="1" showDropDown="1" sqref="L2:L75">
      <formula1>AND(ISNUMBER(L2),(NOT(OR(NOT(ISERROR(DATEVALUE(L2))), AND(ISNUMBER(L2), LEFT(CELL("format", L2))="D")))))</formula1>
    </dataValidation>
    <dataValidation type="list" allowBlank="1" sqref="C2:C75">
      <formula1>"integer,varchar,date,float"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9.13"/>
    <col customWidth="1" min="2" max="2" width="35.13"/>
    <col customWidth="1" min="3" max="3" width="22.63"/>
    <col customWidth="1" min="4" max="4" width="36.25"/>
    <col customWidth="1" min="5" max="5" width="9.38"/>
    <col collapsed="1" customWidth="1" min="6" max="6" width="11.13"/>
    <col customWidth="1" hidden="1" min="7" max="9" width="5.13" outlineLevel="1"/>
    <col customWidth="1" hidden="1" min="10" max="10" width="4.0" outlineLevel="1"/>
    <col customWidth="1" hidden="1" min="11" max="18" width="5.13" outlineLevel="1"/>
    <col customWidth="1" min="19" max="19" width="5.13"/>
  </cols>
  <sheetData>
    <row r="1" ht="39.75" customHeight="1">
      <c r="A1" s="155" t="s">
        <v>299</v>
      </c>
      <c r="B1" s="23"/>
      <c r="C1" s="156"/>
      <c r="D1" s="156"/>
      <c r="E1" s="156"/>
      <c r="F1" s="157"/>
      <c r="G1" s="158"/>
      <c r="H1" s="23"/>
      <c r="I1" s="158" t="s">
        <v>306</v>
      </c>
      <c r="J1" s="60"/>
      <c r="K1" s="23"/>
      <c r="L1" s="159" t="s">
        <v>306</v>
      </c>
      <c r="M1" s="158" t="s">
        <v>307</v>
      </c>
      <c r="N1" s="60"/>
      <c r="O1" s="23"/>
      <c r="P1" s="158" t="s">
        <v>5</v>
      </c>
      <c r="Q1" s="60"/>
      <c r="R1" s="23"/>
    </row>
    <row r="2" ht="22.5" customHeight="1">
      <c r="A2" s="161" t="s">
        <v>308</v>
      </c>
      <c r="B2" s="162" t="s">
        <v>264</v>
      </c>
      <c r="C2" s="162" t="s">
        <v>54</v>
      </c>
      <c r="D2" s="162" t="s">
        <v>36</v>
      </c>
      <c r="E2" s="162" t="s">
        <v>309</v>
      </c>
      <c r="F2" s="162" t="s">
        <v>310</v>
      </c>
      <c r="G2" s="165" t="s">
        <v>311</v>
      </c>
      <c r="H2" s="165" t="s">
        <v>312</v>
      </c>
      <c r="I2" s="165" t="s">
        <v>313</v>
      </c>
      <c r="J2" s="165" t="s">
        <v>314</v>
      </c>
      <c r="K2" s="165" t="s">
        <v>311</v>
      </c>
      <c r="L2" s="165" t="s">
        <v>312</v>
      </c>
      <c r="M2" s="165" t="s">
        <v>313</v>
      </c>
      <c r="N2" s="165" t="s">
        <v>314</v>
      </c>
      <c r="O2" s="165" t="s">
        <v>311</v>
      </c>
      <c r="P2" s="165" t="s">
        <v>313</v>
      </c>
      <c r="Q2" s="165" t="s">
        <v>314</v>
      </c>
      <c r="R2" s="165" t="s">
        <v>311</v>
      </c>
      <c r="S2" s="165" t="s">
        <v>312</v>
      </c>
    </row>
    <row r="3" hidden="1">
      <c r="A3" s="166" t="s">
        <v>316</v>
      </c>
      <c r="B3" s="167" t="s">
        <v>317</v>
      </c>
      <c r="C3" s="167" t="s">
        <v>318</v>
      </c>
      <c r="D3" s="167"/>
      <c r="E3" s="167" t="s">
        <v>319</v>
      </c>
      <c r="F3" s="167" t="s">
        <v>320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</row>
    <row r="4" hidden="1">
      <c r="A4" s="166" t="s">
        <v>316</v>
      </c>
      <c r="B4" s="166" t="s">
        <v>322</v>
      </c>
      <c r="C4" s="167" t="s">
        <v>323</v>
      </c>
      <c r="D4" s="167"/>
      <c r="E4" s="167" t="s">
        <v>319</v>
      </c>
      <c r="F4" s="167" t="s">
        <v>324</v>
      </c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</row>
    <row r="5" hidden="1">
      <c r="A5" s="166" t="s">
        <v>316</v>
      </c>
      <c r="B5" s="166" t="s">
        <v>325</v>
      </c>
      <c r="C5" s="167" t="s">
        <v>323</v>
      </c>
      <c r="D5" s="167"/>
      <c r="E5" s="167" t="s">
        <v>319</v>
      </c>
      <c r="F5" s="167" t="s">
        <v>326</v>
      </c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</row>
    <row r="6" hidden="1">
      <c r="A6" s="166" t="s">
        <v>316</v>
      </c>
      <c r="B6" s="167" t="s">
        <v>327</v>
      </c>
      <c r="C6" s="167" t="s">
        <v>323</v>
      </c>
      <c r="D6" s="167"/>
      <c r="E6" s="167" t="s">
        <v>319</v>
      </c>
      <c r="F6" s="167" t="s">
        <v>324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</row>
    <row r="7" hidden="1">
      <c r="A7" s="166" t="s">
        <v>316</v>
      </c>
      <c r="B7" s="167" t="s">
        <v>328</v>
      </c>
      <c r="C7" s="167" t="s">
        <v>323</v>
      </c>
      <c r="D7" s="167"/>
      <c r="E7" s="167" t="s">
        <v>319</v>
      </c>
      <c r="F7" s="167" t="s">
        <v>326</v>
      </c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</row>
    <row r="8" hidden="1">
      <c r="A8" s="166" t="s">
        <v>316</v>
      </c>
      <c r="B8" s="167" t="s">
        <v>329</v>
      </c>
      <c r="C8" s="167" t="s">
        <v>323</v>
      </c>
      <c r="D8" s="167"/>
      <c r="E8" s="167" t="s">
        <v>319</v>
      </c>
      <c r="F8" s="167" t="s">
        <v>326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</row>
    <row r="9" hidden="1">
      <c r="A9" s="166" t="s">
        <v>316</v>
      </c>
      <c r="B9" s="167" t="s">
        <v>330</v>
      </c>
      <c r="C9" s="167" t="s">
        <v>323</v>
      </c>
      <c r="D9" s="167"/>
      <c r="E9" s="167" t="s">
        <v>319</v>
      </c>
      <c r="F9" s="167" t="s">
        <v>320</v>
      </c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</row>
    <row r="10" hidden="1">
      <c r="A10" s="166" t="s">
        <v>331</v>
      </c>
      <c r="B10" s="167" t="s">
        <v>332</v>
      </c>
      <c r="C10" s="167" t="s">
        <v>333</v>
      </c>
      <c r="D10" s="167"/>
      <c r="E10" s="167" t="s">
        <v>319</v>
      </c>
      <c r="F10" s="167" t="s">
        <v>326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</row>
    <row r="11" hidden="1">
      <c r="A11" s="166" t="s">
        <v>331</v>
      </c>
      <c r="B11" s="167" t="s">
        <v>334</v>
      </c>
      <c r="C11" s="167" t="s">
        <v>333</v>
      </c>
      <c r="D11" s="167"/>
      <c r="E11" s="167" t="s">
        <v>319</v>
      </c>
      <c r="F11" s="167" t="s">
        <v>326</v>
      </c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</row>
    <row r="12" hidden="1">
      <c r="A12" s="166" t="s">
        <v>331</v>
      </c>
      <c r="B12" s="167" t="s">
        <v>335</v>
      </c>
      <c r="C12" s="167" t="s">
        <v>323</v>
      </c>
      <c r="D12" s="167"/>
      <c r="E12" s="167" t="s">
        <v>319</v>
      </c>
      <c r="F12" s="167" t="s">
        <v>324</v>
      </c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</row>
    <row r="13" hidden="1">
      <c r="A13" s="175" t="s">
        <v>58</v>
      </c>
      <c r="B13" s="176" t="s">
        <v>336</v>
      </c>
      <c r="C13" s="177" t="s">
        <v>159</v>
      </c>
      <c r="D13" s="176"/>
      <c r="E13" s="176" t="s">
        <v>319</v>
      </c>
      <c r="F13" s="176" t="s">
        <v>326</v>
      </c>
      <c r="G13" s="174"/>
      <c r="H13" s="174"/>
      <c r="I13" s="174" t="s">
        <v>321</v>
      </c>
      <c r="J13" s="174" t="s">
        <v>321</v>
      </c>
      <c r="K13" s="174" t="s">
        <v>321</v>
      </c>
      <c r="L13" s="174" t="s">
        <v>321</v>
      </c>
      <c r="M13" s="174" t="s">
        <v>321</v>
      </c>
      <c r="N13" s="169" t="s">
        <v>321</v>
      </c>
      <c r="O13" s="169" t="s">
        <v>321</v>
      </c>
      <c r="P13" s="169" t="s">
        <v>321</v>
      </c>
      <c r="Q13" s="169"/>
      <c r="R13" s="169"/>
      <c r="S13" s="169"/>
    </row>
    <row r="14" hidden="1">
      <c r="A14" s="166" t="s">
        <v>337</v>
      </c>
      <c r="B14" s="167" t="s">
        <v>338</v>
      </c>
      <c r="C14" s="167" t="s">
        <v>339</v>
      </c>
      <c r="D14" s="167"/>
      <c r="E14" s="167" t="s">
        <v>319</v>
      </c>
      <c r="F14" s="167" t="s">
        <v>326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</row>
    <row r="15" hidden="1">
      <c r="A15" s="166" t="s">
        <v>337</v>
      </c>
      <c r="B15" s="167" t="s">
        <v>340</v>
      </c>
      <c r="C15" s="167" t="s">
        <v>341</v>
      </c>
      <c r="D15" s="167"/>
      <c r="E15" s="167" t="s">
        <v>319</v>
      </c>
      <c r="F15" s="167" t="s">
        <v>324</v>
      </c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</row>
    <row r="16" hidden="1">
      <c r="A16" s="166" t="s">
        <v>342</v>
      </c>
      <c r="B16" s="167" t="s">
        <v>343</v>
      </c>
      <c r="C16" s="167" t="s">
        <v>323</v>
      </c>
      <c r="D16" s="167"/>
      <c r="E16" s="167" t="s">
        <v>319</v>
      </c>
      <c r="F16" s="167" t="s">
        <v>324</v>
      </c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</row>
    <row r="17" hidden="1">
      <c r="A17" s="166" t="s">
        <v>337</v>
      </c>
      <c r="B17" s="167" t="s">
        <v>344</v>
      </c>
      <c r="C17" s="167" t="s">
        <v>333</v>
      </c>
      <c r="D17" s="167"/>
      <c r="E17" s="167" t="s">
        <v>319</v>
      </c>
      <c r="F17" s="167" t="s">
        <v>320</v>
      </c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</row>
    <row r="18" hidden="1">
      <c r="A18" s="166" t="s">
        <v>337</v>
      </c>
      <c r="B18" s="167" t="s">
        <v>345</v>
      </c>
      <c r="C18" s="167" t="s">
        <v>341</v>
      </c>
      <c r="D18" s="167"/>
      <c r="E18" s="167" t="s">
        <v>319</v>
      </c>
      <c r="F18" s="167" t="s">
        <v>320</v>
      </c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</row>
    <row r="19" hidden="1">
      <c r="A19" s="166" t="s">
        <v>337</v>
      </c>
      <c r="B19" s="167" t="s">
        <v>346</v>
      </c>
      <c r="C19" s="167" t="s">
        <v>341</v>
      </c>
      <c r="D19" s="167"/>
      <c r="E19" s="167" t="s">
        <v>319</v>
      </c>
      <c r="F19" s="167" t="s">
        <v>320</v>
      </c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</row>
    <row r="20" hidden="1">
      <c r="A20" s="166" t="s">
        <v>347</v>
      </c>
      <c r="B20" s="167" t="s">
        <v>348</v>
      </c>
      <c r="C20" s="167" t="s">
        <v>339</v>
      </c>
      <c r="D20" s="167"/>
      <c r="E20" s="167" t="s">
        <v>319</v>
      </c>
      <c r="F20" s="167" t="s">
        <v>326</v>
      </c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</row>
    <row r="21" hidden="1">
      <c r="A21" s="166" t="s">
        <v>337</v>
      </c>
      <c r="B21" s="167" t="s">
        <v>349</v>
      </c>
      <c r="C21" s="167" t="s">
        <v>341</v>
      </c>
      <c r="D21" s="167"/>
      <c r="E21" s="167" t="s">
        <v>319</v>
      </c>
      <c r="F21" s="167" t="s">
        <v>326</v>
      </c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</row>
    <row r="22" hidden="1">
      <c r="A22" s="166" t="s">
        <v>337</v>
      </c>
      <c r="B22" s="167" t="s">
        <v>345</v>
      </c>
      <c r="C22" s="167" t="s">
        <v>341</v>
      </c>
      <c r="D22" s="167"/>
      <c r="E22" s="167" t="s">
        <v>319</v>
      </c>
      <c r="F22" s="167" t="s">
        <v>320</v>
      </c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</row>
    <row r="23" hidden="1">
      <c r="A23" s="166" t="s">
        <v>347</v>
      </c>
      <c r="B23" s="167" t="s">
        <v>350</v>
      </c>
      <c r="C23" s="167" t="s">
        <v>333</v>
      </c>
      <c r="D23" s="167"/>
      <c r="E23" s="167" t="s">
        <v>319</v>
      </c>
      <c r="F23" s="167" t="s">
        <v>326</v>
      </c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</row>
    <row r="24" hidden="1">
      <c r="A24" s="166" t="s">
        <v>337</v>
      </c>
      <c r="B24" s="167" t="s">
        <v>351</v>
      </c>
      <c r="C24" s="167" t="s">
        <v>333</v>
      </c>
      <c r="D24" s="167"/>
      <c r="E24" s="167" t="s">
        <v>319</v>
      </c>
      <c r="F24" s="167" t="s">
        <v>320</v>
      </c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</row>
    <row r="25" hidden="1">
      <c r="A25" s="166" t="s">
        <v>352</v>
      </c>
      <c r="B25" s="167" t="s">
        <v>353</v>
      </c>
      <c r="C25" s="167" t="s">
        <v>333</v>
      </c>
      <c r="D25" s="167"/>
      <c r="E25" s="167" t="s">
        <v>319</v>
      </c>
      <c r="F25" s="167" t="s">
        <v>320</v>
      </c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</row>
    <row r="26" hidden="1">
      <c r="A26" s="166" t="s">
        <v>347</v>
      </c>
      <c r="B26" s="167" t="s">
        <v>354</v>
      </c>
      <c r="C26" s="167" t="s">
        <v>333</v>
      </c>
      <c r="D26" s="167"/>
      <c r="E26" s="167" t="s">
        <v>319</v>
      </c>
      <c r="F26" s="167" t="s">
        <v>326</v>
      </c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</row>
    <row r="27" hidden="1">
      <c r="A27" s="179" t="s">
        <v>355</v>
      </c>
      <c r="B27" s="180" t="s">
        <v>356</v>
      </c>
      <c r="C27" s="180" t="s">
        <v>339</v>
      </c>
      <c r="D27" s="167"/>
      <c r="E27" s="167" t="s">
        <v>319</v>
      </c>
      <c r="F27" s="167" t="s">
        <v>326</v>
      </c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</row>
    <row r="28" hidden="1">
      <c r="A28" s="166" t="s">
        <v>355</v>
      </c>
      <c r="B28" s="181" t="s">
        <v>357</v>
      </c>
      <c r="C28" s="167" t="s">
        <v>339</v>
      </c>
      <c r="D28" s="167"/>
      <c r="E28" s="167" t="s">
        <v>319</v>
      </c>
      <c r="F28" s="167" t="s">
        <v>326</v>
      </c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</row>
    <row r="29" hidden="1">
      <c r="A29" s="166" t="s">
        <v>355</v>
      </c>
      <c r="B29" s="167" t="s">
        <v>358</v>
      </c>
      <c r="C29" s="167" t="s">
        <v>339</v>
      </c>
      <c r="D29" s="167"/>
      <c r="E29" s="167" t="s">
        <v>319</v>
      </c>
      <c r="F29" s="167" t="s">
        <v>324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</row>
    <row r="30" hidden="1">
      <c r="A30" s="166" t="s">
        <v>355</v>
      </c>
      <c r="B30" s="167" t="s">
        <v>359</v>
      </c>
      <c r="C30" s="167" t="s">
        <v>339</v>
      </c>
      <c r="D30" s="167"/>
      <c r="E30" s="167" t="s">
        <v>319</v>
      </c>
      <c r="F30" s="167" t="s">
        <v>326</v>
      </c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</row>
    <row r="31" hidden="1">
      <c r="A31" s="166" t="s">
        <v>355</v>
      </c>
      <c r="B31" s="167" t="s">
        <v>360</v>
      </c>
      <c r="C31" s="167" t="s">
        <v>339</v>
      </c>
      <c r="D31" s="167"/>
      <c r="E31" s="167" t="s">
        <v>319</v>
      </c>
      <c r="F31" s="167" t="s">
        <v>326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</row>
    <row r="32" hidden="1">
      <c r="A32" s="166" t="s">
        <v>355</v>
      </c>
      <c r="B32" s="167" t="s">
        <v>361</v>
      </c>
      <c r="C32" s="167" t="s">
        <v>339</v>
      </c>
      <c r="D32" s="167"/>
      <c r="E32" s="167" t="s">
        <v>319</v>
      </c>
      <c r="F32" s="167" t="s">
        <v>326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</row>
    <row r="33" hidden="1">
      <c r="A33" s="166" t="s">
        <v>362</v>
      </c>
      <c r="B33" s="167" t="s">
        <v>363</v>
      </c>
      <c r="C33" s="167" t="s">
        <v>333</v>
      </c>
      <c r="D33" s="167"/>
      <c r="E33" s="167" t="s">
        <v>319</v>
      </c>
      <c r="F33" s="167" t="s">
        <v>320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</row>
    <row r="34" hidden="1">
      <c r="A34" s="175" t="s">
        <v>364</v>
      </c>
      <c r="B34" s="176" t="s">
        <v>365</v>
      </c>
      <c r="C34" s="177" t="s">
        <v>101</v>
      </c>
      <c r="D34" s="176"/>
      <c r="E34" s="176" t="s">
        <v>319</v>
      </c>
      <c r="F34" s="176" t="s">
        <v>320</v>
      </c>
      <c r="G34" s="174" t="s">
        <v>321</v>
      </c>
      <c r="H34" s="174" t="s">
        <v>321</v>
      </c>
      <c r="I34" s="174" t="s">
        <v>321</v>
      </c>
      <c r="J34" s="174" t="s">
        <v>321</v>
      </c>
      <c r="K34" s="174"/>
      <c r="L34" s="169"/>
      <c r="M34" s="169"/>
      <c r="N34" s="169"/>
      <c r="O34" s="169"/>
      <c r="P34" s="169"/>
      <c r="Q34" s="169"/>
      <c r="R34" s="169"/>
      <c r="S34" s="169"/>
    </row>
    <row r="35" hidden="1">
      <c r="A35" s="175" t="s">
        <v>366</v>
      </c>
      <c r="B35" s="176" t="s">
        <v>367</v>
      </c>
      <c r="C35" s="176" t="s">
        <v>333</v>
      </c>
      <c r="D35" s="176"/>
      <c r="E35" s="176" t="s">
        <v>319</v>
      </c>
      <c r="F35" s="176" t="s">
        <v>326</v>
      </c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</row>
    <row r="36" hidden="1">
      <c r="A36" s="175" t="s">
        <v>366</v>
      </c>
      <c r="B36" s="176" t="s">
        <v>368</v>
      </c>
      <c r="C36" s="176" t="s">
        <v>333</v>
      </c>
      <c r="D36" s="176"/>
      <c r="E36" s="176" t="s">
        <v>319</v>
      </c>
      <c r="F36" s="176" t="s">
        <v>324</v>
      </c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</row>
    <row r="37" hidden="1">
      <c r="A37" s="175" t="s">
        <v>366</v>
      </c>
      <c r="B37" s="176" t="s">
        <v>369</v>
      </c>
      <c r="C37" s="176" t="s">
        <v>333</v>
      </c>
      <c r="D37" s="176"/>
      <c r="E37" s="176" t="s">
        <v>319</v>
      </c>
      <c r="F37" s="176" t="s">
        <v>326</v>
      </c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</row>
    <row r="38" hidden="1">
      <c r="A38" s="175" t="s">
        <v>370</v>
      </c>
      <c r="B38" s="176" t="s">
        <v>371</v>
      </c>
      <c r="C38" s="176" t="s">
        <v>339</v>
      </c>
      <c r="D38" s="176"/>
      <c r="E38" s="176" t="s">
        <v>319</v>
      </c>
      <c r="F38" s="176" t="s">
        <v>326</v>
      </c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</row>
    <row r="39" hidden="1">
      <c r="A39" s="175" t="s">
        <v>372</v>
      </c>
      <c r="B39" s="176" t="s">
        <v>373</v>
      </c>
      <c r="C39" s="176" t="s">
        <v>333</v>
      </c>
      <c r="D39" s="176"/>
      <c r="E39" s="176" t="s">
        <v>319</v>
      </c>
      <c r="F39" s="176" t="s">
        <v>320</v>
      </c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</row>
    <row r="40" hidden="1">
      <c r="A40" s="175" t="s">
        <v>372</v>
      </c>
      <c r="B40" s="176" t="s">
        <v>374</v>
      </c>
      <c r="C40" s="176" t="s">
        <v>333</v>
      </c>
      <c r="D40" s="176"/>
      <c r="E40" s="176" t="s">
        <v>319</v>
      </c>
      <c r="F40" s="176" t="s">
        <v>326</v>
      </c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</row>
    <row r="41" hidden="1">
      <c r="A41" s="175" t="s">
        <v>375</v>
      </c>
      <c r="B41" s="176" t="s">
        <v>376</v>
      </c>
      <c r="C41" s="176" t="s">
        <v>333</v>
      </c>
      <c r="D41" s="176"/>
      <c r="E41" s="176" t="s">
        <v>319</v>
      </c>
      <c r="F41" s="176" t="s">
        <v>320</v>
      </c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</row>
    <row r="42" hidden="1">
      <c r="A42" s="175" t="s">
        <v>375</v>
      </c>
      <c r="B42" s="176" t="s">
        <v>377</v>
      </c>
      <c r="C42" s="176" t="s">
        <v>333</v>
      </c>
      <c r="D42" s="176"/>
      <c r="E42" s="176" t="s">
        <v>319</v>
      </c>
      <c r="F42" s="176" t="s">
        <v>324</v>
      </c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</row>
    <row r="43" hidden="1">
      <c r="A43" s="175" t="s">
        <v>378</v>
      </c>
      <c r="B43" s="176" t="s">
        <v>379</v>
      </c>
      <c r="C43" s="176" t="s">
        <v>333</v>
      </c>
      <c r="D43" s="176"/>
      <c r="E43" s="176" t="s">
        <v>319</v>
      </c>
      <c r="F43" s="176" t="s">
        <v>324</v>
      </c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</row>
    <row r="44" hidden="1">
      <c r="A44" s="175" t="s">
        <v>378</v>
      </c>
      <c r="B44" s="176" t="s">
        <v>380</v>
      </c>
      <c r="C44" s="176" t="s">
        <v>333</v>
      </c>
      <c r="D44" s="176"/>
      <c r="E44" s="176" t="s">
        <v>319</v>
      </c>
      <c r="F44" s="176" t="s">
        <v>326</v>
      </c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</row>
    <row r="45" hidden="1">
      <c r="A45" s="175" t="s">
        <v>378</v>
      </c>
      <c r="B45" s="176" t="s">
        <v>381</v>
      </c>
      <c r="C45" s="176" t="s">
        <v>333</v>
      </c>
      <c r="D45" s="176"/>
      <c r="E45" s="176" t="s">
        <v>319</v>
      </c>
      <c r="F45" s="176" t="s">
        <v>326</v>
      </c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</row>
    <row r="46" hidden="1">
      <c r="A46" s="175" t="s">
        <v>378</v>
      </c>
      <c r="B46" s="176" t="s">
        <v>382</v>
      </c>
      <c r="C46" s="176" t="s">
        <v>333</v>
      </c>
      <c r="D46" s="176"/>
      <c r="E46" s="176" t="s">
        <v>319</v>
      </c>
      <c r="F46" s="176" t="s">
        <v>324</v>
      </c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</row>
    <row r="47" hidden="1">
      <c r="A47" s="175" t="s">
        <v>378</v>
      </c>
      <c r="B47" s="175" t="s">
        <v>383</v>
      </c>
      <c r="C47" s="176" t="s">
        <v>341</v>
      </c>
      <c r="D47" s="176"/>
      <c r="E47" s="176" t="s">
        <v>319</v>
      </c>
      <c r="F47" s="176" t="s">
        <v>324</v>
      </c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</row>
    <row r="48" hidden="1">
      <c r="A48" s="175" t="s">
        <v>378</v>
      </c>
      <c r="B48" s="175" t="s">
        <v>384</v>
      </c>
      <c r="C48" s="176" t="s">
        <v>341</v>
      </c>
      <c r="D48" s="176"/>
      <c r="E48" s="176" t="s">
        <v>319</v>
      </c>
      <c r="F48" s="176" t="s">
        <v>324</v>
      </c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</row>
    <row r="49" hidden="1">
      <c r="A49" s="175" t="s">
        <v>378</v>
      </c>
      <c r="B49" s="176" t="s">
        <v>385</v>
      </c>
      <c r="C49" s="176" t="s">
        <v>341</v>
      </c>
      <c r="D49" s="176"/>
      <c r="E49" s="176" t="s">
        <v>319</v>
      </c>
      <c r="F49" s="176" t="s">
        <v>324</v>
      </c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</row>
    <row r="50" hidden="1">
      <c r="A50" s="175" t="s">
        <v>378</v>
      </c>
      <c r="B50" s="176" t="s">
        <v>386</v>
      </c>
      <c r="C50" s="176" t="s">
        <v>341</v>
      </c>
      <c r="D50" s="176"/>
      <c r="E50" s="176" t="s">
        <v>319</v>
      </c>
      <c r="F50" s="176" t="s">
        <v>324</v>
      </c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</row>
    <row r="51" hidden="1">
      <c r="A51" s="175" t="s">
        <v>378</v>
      </c>
      <c r="B51" s="176" t="s">
        <v>387</v>
      </c>
      <c r="C51" s="176" t="s">
        <v>341</v>
      </c>
      <c r="D51" s="176"/>
      <c r="E51" s="176" t="s">
        <v>319</v>
      </c>
      <c r="F51" s="176" t="s">
        <v>320</v>
      </c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</row>
    <row r="52" hidden="1">
      <c r="A52" s="175" t="s">
        <v>372</v>
      </c>
      <c r="B52" s="176" t="s">
        <v>388</v>
      </c>
      <c r="C52" s="176" t="s">
        <v>333</v>
      </c>
      <c r="D52" s="176"/>
      <c r="E52" s="176" t="s">
        <v>319</v>
      </c>
      <c r="F52" s="176" t="s">
        <v>326</v>
      </c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</row>
    <row r="53" hidden="1">
      <c r="A53" s="175" t="s">
        <v>372</v>
      </c>
      <c r="B53" s="176" t="s">
        <v>389</v>
      </c>
      <c r="C53" s="176" t="s">
        <v>333</v>
      </c>
      <c r="D53" s="176"/>
      <c r="E53" s="176" t="s">
        <v>319</v>
      </c>
      <c r="F53" s="176" t="s">
        <v>326</v>
      </c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</row>
    <row r="54" hidden="1">
      <c r="A54" s="175" t="s">
        <v>85</v>
      </c>
      <c r="B54" s="176" t="s">
        <v>390</v>
      </c>
      <c r="C54" s="176" t="s">
        <v>339</v>
      </c>
      <c r="D54" s="176"/>
      <c r="E54" s="176" t="s">
        <v>319</v>
      </c>
      <c r="F54" s="176" t="s">
        <v>326</v>
      </c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</row>
    <row r="55" hidden="1">
      <c r="A55" s="175" t="s">
        <v>366</v>
      </c>
      <c r="B55" s="176" t="s">
        <v>391</v>
      </c>
      <c r="C55" s="176" t="s">
        <v>333</v>
      </c>
      <c r="D55" s="176"/>
      <c r="E55" s="176" t="s">
        <v>319</v>
      </c>
      <c r="F55" s="176" t="s">
        <v>324</v>
      </c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</row>
    <row r="56" hidden="1">
      <c r="A56" s="175" t="s">
        <v>366</v>
      </c>
      <c r="B56" s="176" t="s">
        <v>392</v>
      </c>
      <c r="C56" s="176" t="s">
        <v>333</v>
      </c>
      <c r="D56" s="176"/>
      <c r="E56" s="176" t="s">
        <v>319</v>
      </c>
      <c r="F56" s="176" t="s">
        <v>324</v>
      </c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</row>
    <row r="57" hidden="1">
      <c r="A57" s="175" t="s">
        <v>366</v>
      </c>
      <c r="B57" s="176" t="s">
        <v>393</v>
      </c>
      <c r="C57" s="176" t="s">
        <v>333</v>
      </c>
      <c r="D57" s="176"/>
      <c r="E57" s="176" t="s">
        <v>319</v>
      </c>
      <c r="F57" s="176" t="s">
        <v>324</v>
      </c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</row>
    <row r="58" hidden="1">
      <c r="A58" s="175" t="s">
        <v>394</v>
      </c>
      <c r="B58" s="176" t="s">
        <v>395</v>
      </c>
      <c r="C58" s="176" t="s">
        <v>341</v>
      </c>
      <c r="D58" s="176"/>
      <c r="E58" s="176" t="s">
        <v>319</v>
      </c>
      <c r="F58" s="176" t="s">
        <v>326</v>
      </c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</row>
    <row r="59" hidden="1">
      <c r="A59" s="175" t="s">
        <v>85</v>
      </c>
      <c r="B59" s="176" t="s">
        <v>396</v>
      </c>
      <c r="C59" s="176" t="s">
        <v>339</v>
      </c>
      <c r="D59" s="176"/>
      <c r="E59" s="176" t="s">
        <v>319</v>
      </c>
      <c r="F59" s="176" t="s">
        <v>326</v>
      </c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</row>
    <row r="60" hidden="1">
      <c r="A60" s="175" t="s">
        <v>364</v>
      </c>
      <c r="B60" s="176" t="s">
        <v>397</v>
      </c>
      <c r="C60" s="177" t="s">
        <v>101</v>
      </c>
      <c r="D60" s="176"/>
      <c r="E60" s="176" t="s">
        <v>319</v>
      </c>
      <c r="F60" s="176" t="s">
        <v>320</v>
      </c>
      <c r="G60" s="174" t="s">
        <v>321</v>
      </c>
      <c r="H60" s="174" t="s">
        <v>321</v>
      </c>
      <c r="I60" s="174" t="s">
        <v>321</v>
      </c>
      <c r="J60" s="174" t="s">
        <v>321</v>
      </c>
      <c r="K60" s="174"/>
      <c r="L60" s="169"/>
      <c r="M60" s="169"/>
      <c r="N60" s="169"/>
      <c r="O60" s="169"/>
      <c r="P60" s="169"/>
      <c r="Q60" s="169"/>
      <c r="R60" s="169"/>
      <c r="S60" s="169"/>
    </row>
    <row r="61">
      <c r="A61" s="175" t="s">
        <v>398</v>
      </c>
      <c r="B61" s="176" t="s">
        <v>1002</v>
      </c>
      <c r="C61" s="177" t="s">
        <v>159</v>
      </c>
      <c r="D61" s="176"/>
      <c r="E61" s="176" t="s">
        <v>428</v>
      </c>
      <c r="F61" s="176" t="s">
        <v>326</v>
      </c>
      <c r="G61" s="174"/>
      <c r="H61" s="174"/>
      <c r="I61" s="174" t="s">
        <v>321</v>
      </c>
      <c r="J61" s="174" t="s">
        <v>321</v>
      </c>
      <c r="K61" s="174" t="s">
        <v>321</v>
      </c>
      <c r="L61" s="174" t="s">
        <v>321</v>
      </c>
      <c r="M61" s="174" t="s">
        <v>321</v>
      </c>
      <c r="N61" s="169" t="s">
        <v>321</v>
      </c>
      <c r="O61" s="169" t="s">
        <v>321</v>
      </c>
      <c r="P61" s="169" t="s">
        <v>321</v>
      </c>
      <c r="Q61" s="169"/>
      <c r="R61" s="169" t="s">
        <v>321</v>
      </c>
      <c r="S61" s="169" t="s">
        <v>321</v>
      </c>
    </row>
    <row r="62">
      <c r="A62" s="175" t="s">
        <v>398</v>
      </c>
      <c r="B62" s="176" t="s">
        <v>1003</v>
      </c>
      <c r="C62" s="177" t="s">
        <v>159</v>
      </c>
      <c r="D62" s="176"/>
      <c r="E62" s="176" t="s">
        <v>428</v>
      </c>
      <c r="F62" s="176" t="s">
        <v>326</v>
      </c>
      <c r="G62" s="174"/>
      <c r="H62" s="174"/>
      <c r="I62" s="174" t="s">
        <v>321</v>
      </c>
      <c r="J62" s="174" t="s">
        <v>321</v>
      </c>
      <c r="K62" s="174" t="s">
        <v>321</v>
      </c>
      <c r="L62" s="174" t="s">
        <v>321</v>
      </c>
      <c r="M62" s="174" t="s">
        <v>321</v>
      </c>
      <c r="N62" s="169" t="s">
        <v>321</v>
      </c>
      <c r="O62" s="169" t="s">
        <v>321</v>
      </c>
      <c r="P62" s="169" t="s">
        <v>321</v>
      </c>
      <c r="Q62" s="169"/>
      <c r="R62" s="169" t="s">
        <v>321</v>
      </c>
      <c r="S62" s="169" t="s">
        <v>321</v>
      </c>
    </row>
    <row r="63" hidden="1">
      <c r="A63" s="175" t="s">
        <v>364</v>
      </c>
      <c r="B63" s="176" t="s">
        <v>401</v>
      </c>
      <c r="C63" s="177" t="s">
        <v>101</v>
      </c>
      <c r="D63" s="176"/>
      <c r="E63" s="176" t="s">
        <v>319</v>
      </c>
      <c r="F63" s="176" t="s">
        <v>326</v>
      </c>
      <c r="G63" s="174"/>
      <c r="H63" s="174"/>
      <c r="I63" s="174"/>
      <c r="J63" s="174"/>
      <c r="K63" s="174"/>
      <c r="L63" s="174"/>
      <c r="M63" s="174" t="s">
        <v>321</v>
      </c>
      <c r="N63" s="169" t="s">
        <v>321</v>
      </c>
      <c r="O63" s="169" t="s">
        <v>321</v>
      </c>
      <c r="P63" s="169" t="s">
        <v>321</v>
      </c>
      <c r="Q63" s="169" t="s">
        <v>321</v>
      </c>
      <c r="R63" s="169"/>
      <c r="S63" s="169"/>
    </row>
    <row r="64" hidden="1">
      <c r="A64" s="175" t="s">
        <v>364</v>
      </c>
      <c r="B64" s="176" t="s">
        <v>402</v>
      </c>
      <c r="C64" s="177" t="s">
        <v>101</v>
      </c>
      <c r="D64" s="176"/>
      <c r="E64" s="176" t="s">
        <v>319</v>
      </c>
      <c r="F64" s="176" t="s">
        <v>326</v>
      </c>
      <c r="G64" s="174"/>
      <c r="H64" s="174"/>
      <c r="I64" s="174"/>
      <c r="J64" s="174"/>
      <c r="K64" s="174"/>
      <c r="L64" s="174"/>
      <c r="M64" s="174" t="s">
        <v>321</v>
      </c>
      <c r="N64" s="169" t="s">
        <v>321</v>
      </c>
      <c r="O64" s="169" t="s">
        <v>321</v>
      </c>
      <c r="P64" s="169"/>
      <c r="Q64" s="169"/>
      <c r="R64" s="169"/>
      <c r="S64" s="169"/>
    </row>
    <row r="65" hidden="1">
      <c r="A65" s="175" t="s">
        <v>364</v>
      </c>
      <c r="B65" s="176" t="s">
        <v>403</v>
      </c>
      <c r="C65" s="177" t="s">
        <v>101</v>
      </c>
      <c r="D65" s="176"/>
      <c r="E65" s="176" t="s">
        <v>319</v>
      </c>
      <c r="F65" s="176" t="s">
        <v>326</v>
      </c>
      <c r="G65" s="174" t="s">
        <v>321</v>
      </c>
      <c r="H65" s="174" t="s">
        <v>321</v>
      </c>
      <c r="I65" s="174"/>
      <c r="J65" s="174"/>
      <c r="K65" s="174"/>
      <c r="L65" s="169"/>
      <c r="M65" s="169"/>
      <c r="N65" s="169"/>
      <c r="O65" s="169"/>
      <c r="P65" s="169"/>
      <c r="Q65" s="169"/>
      <c r="R65" s="169"/>
      <c r="S65" s="169"/>
    </row>
    <row r="66" hidden="1">
      <c r="A66" s="175" t="s">
        <v>404</v>
      </c>
      <c r="B66" s="176" t="s">
        <v>405</v>
      </c>
      <c r="C66" s="176" t="s">
        <v>333</v>
      </c>
      <c r="D66" s="176"/>
      <c r="E66" s="176" t="s">
        <v>319</v>
      </c>
      <c r="F66" s="176" t="s">
        <v>326</v>
      </c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</row>
    <row r="67" hidden="1">
      <c r="A67" s="175" t="s">
        <v>366</v>
      </c>
      <c r="B67" s="176" t="s">
        <v>406</v>
      </c>
      <c r="C67" s="176" t="s">
        <v>333</v>
      </c>
      <c r="D67" s="176"/>
      <c r="E67" s="176" t="s">
        <v>319</v>
      </c>
      <c r="F67" s="176" t="s">
        <v>326</v>
      </c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</row>
    <row r="68" hidden="1">
      <c r="A68" s="175" t="s">
        <v>366</v>
      </c>
      <c r="B68" s="176" t="s">
        <v>407</v>
      </c>
      <c r="C68" s="176" t="s">
        <v>333</v>
      </c>
      <c r="D68" s="176"/>
      <c r="E68" s="176" t="s">
        <v>319</v>
      </c>
      <c r="F68" s="176" t="s">
        <v>326</v>
      </c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</row>
    <row r="69" hidden="1">
      <c r="A69" s="175" t="s">
        <v>366</v>
      </c>
      <c r="B69" s="176" t="s">
        <v>369</v>
      </c>
      <c r="C69" s="176" t="s">
        <v>333</v>
      </c>
      <c r="D69" s="176"/>
      <c r="E69" s="176" t="s">
        <v>319</v>
      </c>
      <c r="F69" s="176" t="s">
        <v>326</v>
      </c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</row>
    <row r="70" hidden="1">
      <c r="A70" s="175" t="s">
        <v>366</v>
      </c>
      <c r="B70" s="176" t="s">
        <v>408</v>
      </c>
      <c r="C70" s="176" t="s">
        <v>333</v>
      </c>
      <c r="D70" s="176"/>
      <c r="E70" s="176" t="s">
        <v>319</v>
      </c>
      <c r="F70" s="176" t="s">
        <v>326</v>
      </c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</row>
    <row r="71" hidden="1">
      <c r="A71" s="175" t="s">
        <v>85</v>
      </c>
      <c r="B71" s="176" t="s">
        <v>409</v>
      </c>
      <c r="C71" s="176" t="s">
        <v>339</v>
      </c>
      <c r="D71" s="176"/>
      <c r="E71" s="176" t="s">
        <v>319</v>
      </c>
      <c r="F71" s="176" t="s">
        <v>326</v>
      </c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</row>
    <row r="72" hidden="1">
      <c r="A72" s="175" t="s">
        <v>394</v>
      </c>
      <c r="B72" s="176" t="s">
        <v>410</v>
      </c>
      <c r="C72" s="176" t="s">
        <v>341</v>
      </c>
      <c r="D72" s="176"/>
      <c r="E72" s="176" t="s">
        <v>319</v>
      </c>
      <c r="F72" s="176" t="s">
        <v>324</v>
      </c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</row>
    <row r="73" hidden="1">
      <c r="A73" s="175" t="s">
        <v>394</v>
      </c>
      <c r="B73" s="176" t="s">
        <v>411</v>
      </c>
      <c r="C73" s="176" t="s">
        <v>341</v>
      </c>
      <c r="D73" s="176"/>
      <c r="E73" s="176" t="s">
        <v>319</v>
      </c>
      <c r="F73" s="176" t="s">
        <v>326</v>
      </c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</row>
    <row r="74" hidden="1">
      <c r="A74" s="175" t="s">
        <v>394</v>
      </c>
      <c r="B74" s="176" t="s">
        <v>412</v>
      </c>
      <c r="C74" s="176" t="s">
        <v>341</v>
      </c>
      <c r="D74" s="176"/>
      <c r="E74" s="176" t="s">
        <v>319</v>
      </c>
      <c r="F74" s="176" t="s">
        <v>326</v>
      </c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</row>
    <row r="75" hidden="1">
      <c r="A75" s="175" t="s">
        <v>394</v>
      </c>
      <c r="B75" s="176" t="s">
        <v>413</v>
      </c>
      <c r="C75" s="176" t="s">
        <v>341</v>
      </c>
      <c r="D75" s="176"/>
      <c r="E75" s="176" t="s">
        <v>319</v>
      </c>
      <c r="F75" s="176" t="s">
        <v>324</v>
      </c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</row>
    <row r="76" hidden="1">
      <c r="A76" s="175" t="s">
        <v>394</v>
      </c>
      <c r="B76" s="176" t="s">
        <v>414</v>
      </c>
      <c r="C76" s="176" t="s">
        <v>333</v>
      </c>
      <c r="D76" s="176"/>
      <c r="E76" s="176" t="s">
        <v>319</v>
      </c>
      <c r="F76" s="176" t="s">
        <v>326</v>
      </c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</row>
    <row r="77" hidden="1">
      <c r="A77" s="175" t="s">
        <v>372</v>
      </c>
      <c r="B77" s="176" t="s">
        <v>415</v>
      </c>
      <c r="C77" s="176" t="s">
        <v>333</v>
      </c>
      <c r="D77" s="176"/>
      <c r="E77" s="176" t="s">
        <v>319</v>
      </c>
      <c r="F77" s="176" t="s">
        <v>326</v>
      </c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</row>
    <row r="78" hidden="1">
      <c r="A78" s="175" t="s">
        <v>394</v>
      </c>
      <c r="B78" s="176" t="s">
        <v>416</v>
      </c>
      <c r="C78" s="176" t="s">
        <v>341</v>
      </c>
      <c r="D78" s="176"/>
      <c r="E78" s="176" t="s">
        <v>319</v>
      </c>
      <c r="F78" s="176" t="s">
        <v>324</v>
      </c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</row>
    <row r="79" hidden="1">
      <c r="A79" s="175" t="s">
        <v>404</v>
      </c>
      <c r="B79" s="176" t="s">
        <v>417</v>
      </c>
      <c r="C79" s="176" t="s">
        <v>333</v>
      </c>
      <c r="D79" s="176"/>
      <c r="E79" s="176" t="s">
        <v>319</v>
      </c>
      <c r="F79" s="176" t="s">
        <v>324</v>
      </c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</row>
    <row r="80" hidden="1">
      <c r="A80" s="175" t="s">
        <v>404</v>
      </c>
      <c r="B80" s="176" t="s">
        <v>418</v>
      </c>
      <c r="C80" s="176" t="s">
        <v>333</v>
      </c>
      <c r="D80" s="176"/>
      <c r="E80" s="176" t="s">
        <v>319</v>
      </c>
      <c r="F80" s="176" t="s">
        <v>324</v>
      </c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</row>
    <row r="81" hidden="1">
      <c r="A81" s="175" t="s">
        <v>419</v>
      </c>
      <c r="B81" s="176" t="s">
        <v>420</v>
      </c>
      <c r="C81" s="177" t="s">
        <v>208</v>
      </c>
      <c r="D81" s="176"/>
      <c r="E81" s="176" t="s">
        <v>319</v>
      </c>
      <c r="F81" s="176" t="s">
        <v>320</v>
      </c>
      <c r="G81" s="174"/>
      <c r="H81" s="174"/>
      <c r="I81" s="174" t="s">
        <v>321</v>
      </c>
      <c r="J81" s="174" t="s">
        <v>321</v>
      </c>
      <c r="K81" s="174" t="s">
        <v>321</v>
      </c>
      <c r="L81" s="174" t="s">
        <v>321</v>
      </c>
      <c r="M81" s="174" t="s">
        <v>321</v>
      </c>
      <c r="N81" s="174"/>
      <c r="O81" s="174"/>
      <c r="P81" s="174"/>
      <c r="Q81" s="174"/>
      <c r="R81" s="174"/>
      <c r="S81" s="174"/>
    </row>
    <row r="82" hidden="1">
      <c r="A82" s="175" t="s">
        <v>421</v>
      </c>
      <c r="B82" s="176" t="s">
        <v>422</v>
      </c>
      <c r="C82" s="177" t="s">
        <v>423</v>
      </c>
      <c r="D82" s="176"/>
      <c r="E82" s="176" t="s">
        <v>319</v>
      </c>
      <c r="F82" s="176" t="s">
        <v>326</v>
      </c>
      <c r="G82" s="174"/>
      <c r="H82" s="174" t="s">
        <v>321</v>
      </c>
      <c r="I82" s="174"/>
      <c r="J82" s="174" t="s">
        <v>321</v>
      </c>
      <c r="K82" s="174" t="s">
        <v>321</v>
      </c>
      <c r="L82" s="174" t="s">
        <v>321</v>
      </c>
      <c r="M82" s="174" t="s">
        <v>321</v>
      </c>
      <c r="N82" s="169" t="s">
        <v>321</v>
      </c>
      <c r="O82" s="169" t="s">
        <v>321</v>
      </c>
      <c r="P82" s="169"/>
      <c r="Q82" s="169"/>
      <c r="R82" s="169"/>
      <c r="S82" s="169"/>
    </row>
    <row r="83" hidden="1">
      <c r="A83" s="175" t="s">
        <v>424</v>
      </c>
      <c r="B83" s="176" t="s">
        <v>425</v>
      </c>
      <c r="C83" s="177" t="s">
        <v>101</v>
      </c>
      <c r="D83" s="176"/>
      <c r="E83" s="176" t="s">
        <v>319</v>
      </c>
      <c r="F83" s="176" t="s">
        <v>324</v>
      </c>
      <c r="G83" s="174"/>
      <c r="H83" s="174" t="s">
        <v>321</v>
      </c>
      <c r="I83" s="174"/>
      <c r="J83" s="174" t="s">
        <v>321</v>
      </c>
      <c r="K83" s="174" t="s">
        <v>321</v>
      </c>
      <c r="L83" s="174" t="s">
        <v>321</v>
      </c>
      <c r="M83" s="174" t="s">
        <v>321</v>
      </c>
      <c r="N83" s="169" t="s">
        <v>321</v>
      </c>
      <c r="O83" s="169" t="s">
        <v>321</v>
      </c>
      <c r="P83" s="169"/>
      <c r="Q83" s="169"/>
      <c r="R83" s="169"/>
      <c r="S83" s="169"/>
    </row>
    <row r="84" hidden="1">
      <c r="A84" s="175" t="s">
        <v>58</v>
      </c>
      <c r="B84" s="176" t="s">
        <v>426</v>
      </c>
      <c r="C84" s="177" t="s">
        <v>101</v>
      </c>
      <c r="D84" s="177" t="s">
        <v>75</v>
      </c>
      <c r="E84" s="176" t="s">
        <v>319</v>
      </c>
      <c r="F84" s="176" t="s">
        <v>326</v>
      </c>
      <c r="G84" s="174"/>
      <c r="H84" s="174"/>
      <c r="I84" s="174" t="s">
        <v>321</v>
      </c>
      <c r="J84" s="174" t="s">
        <v>321</v>
      </c>
      <c r="K84" s="174" t="s">
        <v>321</v>
      </c>
      <c r="L84" s="174" t="s">
        <v>321</v>
      </c>
      <c r="M84" s="174" t="s">
        <v>321</v>
      </c>
      <c r="N84" s="169" t="s">
        <v>321</v>
      </c>
      <c r="O84" s="169" t="s">
        <v>321</v>
      </c>
      <c r="P84" s="169" t="s">
        <v>321</v>
      </c>
      <c r="Q84" s="169"/>
      <c r="R84" s="169"/>
      <c r="S84" s="169"/>
    </row>
    <row r="85">
      <c r="A85" s="175" t="s">
        <v>835</v>
      </c>
      <c r="B85" s="176" t="s">
        <v>427</v>
      </c>
      <c r="C85" s="177" t="s">
        <v>101</v>
      </c>
      <c r="D85" s="176"/>
      <c r="E85" s="176" t="s">
        <v>428</v>
      </c>
      <c r="F85" s="176" t="s">
        <v>326</v>
      </c>
      <c r="G85" s="174"/>
      <c r="H85" s="174"/>
      <c r="I85" s="174" t="s">
        <v>321</v>
      </c>
      <c r="J85" s="174" t="s">
        <v>321</v>
      </c>
      <c r="K85" s="174" t="s">
        <v>321</v>
      </c>
      <c r="L85" s="174" t="s">
        <v>321</v>
      </c>
      <c r="M85" s="174" t="s">
        <v>321</v>
      </c>
      <c r="N85" s="169" t="s">
        <v>321</v>
      </c>
      <c r="O85" s="169" t="s">
        <v>321</v>
      </c>
      <c r="P85" s="169"/>
      <c r="Q85" s="169" t="s">
        <v>321</v>
      </c>
      <c r="R85" s="169" t="s">
        <v>321</v>
      </c>
      <c r="S85" s="169" t="s">
        <v>321</v>
      </c>
    </row>
    <row r="86">
      <c r="A86" s="175" t="s">
        <v>835</v>
      </c>
      <c r="B86" s="176" t="s">
        <v>429</v>
      </c>
      <c r="C86" s="177" t="s">
        <v>101</v>
      </c>
      <c r="D86" s="177" t="s">
        <v>430</v>
      </c>
      <c r="E86" s="176" t="s">
        <v>428</v>
      </c>
      <c r="F86" s="176" t="s">
        <v>326</v>
      </c>
      <c r="G86" s="174"/>
      <c r="H86" s="174"/>
      <c r="I86" s="174" t="s">
        <v>321</v>
      </c>
      <c r="J86" s="174" t="s">
        <v>321</v>
      </c>
      <c r="K86" s="174" t="s">
        <v>321</v>
      </c>
      <c r="L86" s="174" t="s">
        <v>321</v>
      </c>
      <c r="M86" s="174" t="s">
        <v>321</v>
      </c>
      <c r="N86" s="169" t="s">
        <v>321</v>
      </c>
      <c r="O86" s="169" t="s">
        <v>321</v>
      </c>
      <c r="P86" s="169"/>
      <c r="Q86" s="169" t="s">
        <v>321</v>
      </c>
      <c r="R86" s="169" t="s">
        <v>321</v>
      </c>
      <c r="S86" s="169" t="s">
        <v>321</v>
      </c>
    </row>
    <row r="87">
      <c r="A87" s="175" t="s">
        <v>85</v>
      </c>
      <c r="B87" s="176" t="s">
        <v>433</v>
      </c>
      <c r="C87" s="177" t="s">
        <v>184</v>
      </c>
      <c r="D87" s="176" t="s">
        <v>434</v>
      </c>
      <c r="E87" s="176" t="s">
        <v>428</v>
      </c>
      <c r="F87" s="176" t="s">
        <v>326</v>
      </c>
      <c r="G87" s="174"/>
      <c r="H87" s="174"/>
      <c r="I87" s="174" t="s">
        <v>321</v>
      </c>
      <c r="J87" s="174" t="s">
        <v>321</v>
      </c>
      <c r="K87" s="174" t="s">
        <v>321</v>
      </c>
      <c r="L87" s="174" t="s">
        <v>321</v>
      </c>
      <c r="M87" s="174" t="s">
        <v>321</v>
      </c>
      <c r="N87" s="169" t="s">
        <v>321</v>
      </c>
      <c r="O87" s="169" t="s">
        <v>321</v>
      </c>
      <c r="P87" s="169" t="s">
        <v>321</v>
      </c>
      <c r="Q87" s="169" t="s">
        <v>321</v>
      </c>
      <c r="R87" s="169" t="s">
        <v>321</v>
      </c>
      <c r="S87" s="169" t="s">
        <v>321</v>
      </c>
    </row>
    <row r="88">
      <c r="A88" s="175" t="s">
        <v>85</v>
      </c>
      <c r="B88" s="176" t="s">
        <v>435</v>
      </c>
      <c r="C88" s="177" t="s">
        <v>184</v>
      </c>
      <c r="D88" s="176" t="s">
        <v>434</v>
      </c>
      <c r="E88" s="176" t="s">
        <v>428</v>
      </c>
      <c r="F88" s="176" t="s">
        <v>326</v>
      </c>
      <c r="G88" s="174"/>
      <c r="H88" s="174"/>
      <c r="I88" s="174" t="s">
        <v>321</v>
      </c>
      <c r="J88" s="174" t="s">
        <v>321</v>
      </c>
      <c r="K88" s="174" t="s">
        <v>321</v>
      </c>
      <c r="L88" s="174" t="s">
        <v>321</v>
      </c>
      <c r="M88" s="174" t="s">
        <v>321</v>
      </c>
      <c r="N88" s="169" t="s">
        <v>321</v>
      </c>
      <c r="O88" s="169" t="s">
        <v>321</v>
      </c>
      <c r="P88" s="169" t="s">
        <v>321</v>
      </c>
      <c r="Q88" s="169" t="s">
        <v>321</v>
      </c>
      <c r="R88" s="169" t="s">
        <v>321</v>
      </c>
      <c r="S88" s="169" t="s">
        <v>321</v>
      </c>
    </row>
    <row r="89">
      <c r="A89" s="175" t="s">
        <v>85</v>
      </c>
      <c r="B89" s="176" t="s">
        <v>316</v>
      </c>
      <c r="C89" s="177" t="s">
        <v>184</v>
      </c>
      <c r="D89" s="176" t="s">
        <v>434</v>
      </c>
      <c r="E89" s="176" t="s">
        <v>428</v>
      </c>
      <c r="F89" s="176" t="s">
        <v>326</v>
      </c>
      <c r="G89" s="174"/>
      <c r="H89" s="174"/>
      <c r="I89" s="174" t="s">
        <v>321</v>
      </c>
      <c r="J89" s="174" t="s">
        <v>321</v>
      </c>
      <c r="K89" s="174" t="s">
        <v>321</v>
      </c>
      <c r="L89" s="174" t="s">
        <v>321</v>
      </c>
      <c r="M89" s="174" t="s">
        <v>321</v>
      </c>
      <c r="N89" s="169" t="s">
        <v>321</v>
      </c>
      <c r="O89" s="169" t="s">
        <v>321</v>
      </c>
      <c r="P89" s="169" t="s">
        <v>321</v>
      </c>
      <c r="Q89" s="169" t="s">
        <v>321</v>
      </c>
      <c r="R89" s="169" t="s">
        <v>321</v>
      </c>
      <c r="S89" s="169" t="s">
        <v>321</v>
      </c>
    </row>
    <row r="90">
      <c r="A90" s="175" t="s">
        <v>436</v>
      </c>
      <c r="B90" s="176" t="s">
        <v>437</v>
      </c>
      <c r="C90" s="177" t="s">
        <v>75</v>
      </c>
      <c r="D90" s="176"/>
      <c r="E90" s="176" t="s">
        <v>428</v>
      </c>
      <c r="F90" s="176" t="s">
        <v>326</v>
      </c>
      <c r="G90" s="174"/>
      <c r="H90" s="174"/>
      <c r="I90" s="174" t="s">
        <v>321</v>
      </c>
      <c r="J90" s="174" t="s">
        <v>321</v>
      </c>
      <c r="K90" s="174" t="s">
        <v>321</v>
      </c>
      <c r="L90" s="174" t="s">
        <v>321</v>
      </c>
      <c r="M90" s="174" t="s">
        <v>321</v>
      </c>
      <c r="N90" s="169" t="s">
        <v>321</v>
      </c>
      <c r="O90" s="169" t="s">
        <v>321</v>
      </c>
      <c r="P90" s="169" t="s">
        <v>321</v>
      </c>
      <c r="Q90" s="169" t="s">
        <v>321</v>
      </c>
      <c r="R90" s="169" t="s">
        <v>321</v>
      </c>
      <c r="S90" s="169" t="s">
        <v>321</v>
      </c>
    </row>
    <row r="91">
      <c r="A91" s="175" t="s">
        <v>436</v>
      </c>
      <c r="B91" s="176" t="s">
        <v>400</v>
      </c>
      <c r="C91" s="177" t="s">
        <v>75</v>
      </c>
      <c r="D91" s="176"/>
      <c r="E91" s="176" t="s">
        <v>428</v>
      </c>
      <c r="F91" s="176" t="s">
        <v>326</v>
      </c>
      <c r="G91" s="174"/>
      <c r="H91" s="174"/>
      <c r="I91" s="174" t="s">
        <v>321</v>
      </c>
      <c r="J91" s="174" t="s">
        <v>321</v>
      </c>
      <c r="K91" s="174" t="s">
        <v>321</v>
      </c>
      <c r="L91" s="174" t="s">
        <v>321</v>
      </c>
      <c r="M91" s="174" t="s">
        <v>321</v>
      </c>
      <c r="N91" s="169" t="s">
        <v>321</v>
      </c>
      <c r="O91" s="169" t="s">
        <v>321</v>
      </c>
      <c r="P91" s="169"/>
      <c r="Q91" s="169" t="s">
        <v>321</v>
      </c>
      <c r="R91" s="169" t="s">
        <v>321</v>
      </c>
      <c r="S91" s="169" t="s">
        <v>321</v>
      </c>
    </row>
    <row r="92" hidden="1">
      <c r="A92" s="175" t="s">
        <v>404</v>
      </c>
      <c r="B92" s="176" t="s">
        <v>441</v>
      </c>
      <c r="C92" s="177" t="s">
        <v>75</v>
      </c>
      <c r="D92" s="176"/>
      <c r="E92" s="176" t="s">
        <v>319</v>
      </c>
      <c r="F92" s="176" t="s">
        <v>326</v>
      </c>
      <c r="G92" s="174"/>
      <c r="H92" s="174"/>
      <c r="I92" s="174" t="s">
        <v>321</v>
      </c>
      <c r="J92" s="174" t="s">
        <v>321</v>
      </c>
      <c r="K92" s="174" t="s">
        <v>321</v>
      </c>
      <c r="L92" s="174" t="s">
        <v>321</v>
      </c>
      <c r="M92" s="174" t="s">
        <v>321</v>
      </c>
      <c r="N92" s="169" t="s">
        <v>321</v>
      </c>
      <c r="O92" s="169" t="s">
        <v>321</v>
      </c>
      <c r="P92" s="169" t="s">
        <v>321</v>
      </c>
      <c r="Q92" s="169"/>
      <c r="R92" s="169"/>
      <c r="S92" s="169"/>
    </row>
    <row r="93" hidden="1">
      <c r="A93" s="175" t="s">
        <v>85</v>
      </c>
      <c r="B93" s="176" t="s">
        <v>442</v>
      </c>
      <c r="C93" s="177" t="s">
        <v>184</v>
      </c>
      <c r="D93" s="176"/>
      <c r="E93" s="176" t="s">
        <v>319</v>
      </c>
      <c r="F93" s="176" t="s">
        <v>326</v>
      </c>
      <c r="G93" s="174"/>
      <c r="H93" s="174"/>
      <c r="I93" s="174" t="s">
        <v>321</v>
      </c>
      <c r="J93" s="174" t="s">
        <v>321</v>
      </c>
      <c r="K93" s="174" t="s">
        <v>321</v>
      </c>
      <c r="L93" s="174" t="s">
        <v>321</v>
      </c>
      <c r="M93" s="174" t="s">
        <v>321</v>
      </c>
      <c r="N93" s="169" t="s">
        <v>321</v>
      </c>
      <c r="O93" s="169" t="s">
        <v>321</v>
      </c>
      <c r="P93" s="169" t="s">
        <v>321</v>
      </c>
      <c r="Q93" s="169"/>
      <c r="R93" s="169"/>
      <c r="S93" s="169"/>
    </row>
    <row r="94">
      <c r="A94" s="175" t="s">
        <v>404</v>
      </c>
      <c r="B94" s="176" t="s">
        <v>1004</v>
      </c>
      <c r="C94" s="177" t="s">
        <v>75</v>
      </c>
      <c r="D94" s="176"/>
      <c r="E94" s="176" t="s">
        <v>428</v>
      </c>
      <c r="F94" s="176" t="s">
        <v>326</v>
      </c>
      <c r="G94" s="174"/>
      <c r="H94" s="174"/>
      <c r="I94" s="174" t="s">
        <v>321</v>
      </c>
      <c r="J94" s="174" t="s">
        <v>321</v>
      </c>
      <c r="K94" s="174" t="s">
        <v>321</v>
      </c>
      <c r="L94" s="174" t="s">
        <v>321</v>
      </c>
      <c r="M94" s="174" t="s">
        <v>321</v>
      </c>
      <c r="N94" s="169" t="s">
        <v>321</v>
      </c>
      <c r="O94" s="169" t="s">
        <v>321</v>
      </c>
      <c r="P94" s="169"/>
      <c r="Q94" s="169"/>
      <c r="R94" s="169" t="s">
        <v>321</v>
      </c>
      <c r="S94" s="169" t="s">
        <v>321</v>
      </c>
    </row>
    <row r="95">
      <c r="A95" s="175" t="s">
        <v>404</v>
      </c>
      <c r="B95" s="176" t="s">
        <v>444</v>
      </c>
      <c r="C95" s="177" t="s">
        <v>75</v>
      </c>
      <c r="D95" s="176"/>
      <c r="E95" s="176" t="s">
        <v>428</v>
      </c>
      <c r="F95" s="176" t="s">
        <v>326</v>
      </c>
      <c r="G95" s="174"/>
      <c r="H95" s="174"/>
      <c r="I95" s="174" t="s">
        <v>321</v>
      </c>
      <c r="J95" s="174" t="s">
        <v>321</v>
      </c>
      <c r="K95" s="174" t="s">
        <v>321</v>
      </c>
      <c r="L95" s="174" t="s">
        <v>321</v>
      </c>
      <c r="M95" s="174" t="s">
        <v>321</v>
      </c>
      <c r="N95" s="169" t="s">
        <v>321</v>
      </c>
      <c r="O95" s="169" t="s">
        <v>321</v>
      </c>
      <c r="P95" s="169"/>
      <c r="Q95" s="169"/>
      <c r="R95" s="169" t="s">
        <v>321</v>
      </c>
      <c r="S95" s="169" t="s">
        <v>321</v>
      </c>
    </row>
    <row r="96">
      <c r="A96" s="175" t="s">
        <v>404</v>
      </c>
      <c r="B96" s="176" t="s">
        <v>447</v>
      </c>
      <c r="C96" s="177" t="s">
        <v>75</v>
      </c>
      <c r="D96" s="176"/>
      <c r="E96" s="176" t="s">
        <v>428</v>
      </c>
      <c r="F96" s="176" t="s">
        <v>326</v>
      </c>
      <c r="G96" s="174"/>
      <c r="H96" s="174"/>
      <c r="I96" s="174" t="s">
        <v>321</v>
      </c>
      <c r="J96" s="174" t="s">
        <v>321</v>
      </c>
      <c r="K96" s="174" t="s">
        <v>321</v>
      </c>
      <c r="L96" s="174" t="s">
        <v>321</v>
      </c>
      <c r="M96" s="174" t="s">
        <v>321</v>
      </c>
      <c r="N96" s="169" t="s">
        <v>321</v>
      </c>
      <c r="O96" s="169" t="s">
        <v>321</v>
      </c>
      <c r="P96" s="169"/>
      <c r="Q96" s="169"/>
      <c r="R96" s="169" t="s">
        <v>321</v>
      </c>
      <c r="S96" s="169" t="s">
        <v>321</v>
      </c>
    </row>
    <row r="97" hidden="1">
      <c r="A97" s="175" t="s">
        <v>404</v>
      </c>
      <c r="B97" s="176" t="s">
        <v>445</v>
      </c>
      <c r="C97" s="177" t="s">
        <v>75</v>
      </c>
      <c r="D97" s="176"/>
      <c r="E97" s="176" t="s">
        <v>319</v>
      </c>
      <c r="F97" s="176" t="s">
        <v>326</v>
      </c>
      <c r="G97" s="174"/>
      <c r="H97" s="174"/>
      <c r="I97" s="174" t="s">
        <v>321</v>
      </c>
      <c r="J97" s="174" t="s">
        <v>321</v>
      </c>
      <c r="K97" s="174" t="s">
        <v>321</v>
      </c>
      <c r="L97" s="174" t="s">
        <v>321</v>
      </c>
      <c r="M97" s="174" t="s">
        <v>321</v>
      </c>
      <c r="N97" s="169" t="s">
        <v>321</v>
      </c>
      <c r="O97" s="169" t="s">
        <v>321</v>
      </c>
      <c r="P97" s="169"/>
      <c r="Q97" s="169"/>
      <c r="R97" s="169" t="s">
        <v>321</v>
      </c>
      <c r="S97" s="169" t="s">
        <v>321</v>
      </c>
    </row>
    <row r="98" hidden="1">
      <c r="A98" s="175" t="s">
        <v>364</v>
      </c>
      <c r="B98" s="176" t="s">
        <v>446</v>
      </c>
      <c r="C98" s="177" t="s">
        <v>101</v>
      </c>
      <c r="D98" s="176"/>
      <c r="E98" s="176" t="s">
        <v>319</v>
      </c>
      <c r="F98" s="176" t="s">
        <v>326</v>
      </c>
      <c r="G98" s="174"/>
      <c r="H98" s="174"/>
      <c r="I98" s="174" t="s">
        <v>321</v>
      </c>
      <c r="J98" s="174" t="s">
        <v>321</v>
      </c>
      <c r="K98" s="174"/>
      <c r="L98" s="169"/>
      <c r="M98" s="169"/>
      <c r="N98" s="169"/>
      <c r="O98" s="169"/>
      <c r="P98" s="169"/>
      <c r="Q98" s="169"/>
      <c r="R98" s="169"/>
      <c r="S98" s="169"/>
    </row>
    <row r="99">
      <c r="A99" s="175" t="s">
        <v>424</v>
      </c>
      <c r="B99" s="176" t="s">
        <v>448</v>
      </c>
      <c r="C99" s="177" t="s">
        <v>171</v>
      </c>
      <c r="D99" s="177" t="s">
        <v>208</v>
      </c>
      <c r="E99" s="176" t="s">
        <v>428</v>
      </c>
      <c r="F99" s="176" t="s">
        <v>324</v>
      </c>
      <c r="G99" s="174"/>
      <c r="H99" s="174" t="s">
        <v>321</v>
      </c>
      <c r="I99" s="174"/>
      <c r="J99" s="174" t="s">
        <v>321</v>
      </c>
      <c r="K99" s="174" t="s">
        <v>321</v>
      </c>
      <c r="L99" s="174"/>
      <c r="M99" s="174" t="s">
        <v>321</v>
      </c>
      <c r="N99" s="169" t="s">
        <v>321</v>
      </c>
      <c r="O99" s="169" t="s">
        <v>321</v>
      </c>
      <c r="P99" s="169" t="s">
        <v>321</v>
      </c>
      <c r="Q99" s="169" t="s">
        <v>321</v>
      </c>
      <c r="R99" s="169" t="s">
        <v>321</v>
      </c>
      <c r="S99" s="169" t="s">
        <v>321</v>
      </c>
    </row>
    <row r="100">
      <c r="A100" s="175" t="s">
        <v>545</v>
      </c>
      <c r="B100" s="176" t="s">
        <v>546</v>
      </c>
      <c r="C100" s="177" t="s">
        <v>171</v>
      </c>
      <c r="D100" s="177" t="s">
        <v>159</v>
      </c>
      <c r="E100" s="176" t="s">
        <v>428</v>
      </c>
      <c r="F100" s="176" t="s">
        <v>326</v>
      </c>
      <c r="G100" s="174"/>
      <c r="H100" s="174"/>
      <c r="I100" s="174" t="s">
        <v>321</v>
      </c>
      <c r="J100" s="174" t="s">
        <v>321</v>
      </c>
      <c r="K100" s="174" t="s">
        <v>321</v>
      </c>
      <c r="L100" s="174" t="s">
        <v>321</v>
      </c>
      <c r="M100" s="174" t="s">
        <v>321</v>
      </c>
      <c r="N100" s="169" t="s">
        <v>321</v>
      </c>
      <c r="O100" s="169" t="s">
        <v>321</v>
      </c>
      <c r="P100" s="169" t="s">
        <v>321</v>
      </c>
      <c r="Q100" s="169" t="s">
        <v>321</v>
      </c>
      <c r="R100" s="169" t="s">
        <v>321</v>
      </c>
      <c r="S100" s="169" t="s">
        <v>321</v>
      </c>
    </row>
    <row r="101" hidden="1">
      <c r="A101" s="175" t="s">
        <v>421</v>
      </c>
      <c r="B101" s="176" t="s">
        <v>449</v>
      </c>
      <c r="C101" s="177" t="s">
        <v>423</v>
      </c>
      <c r="D101" s="176"/>
      <c r="E101" s="176" t="s">
        <v>319</v>
      </c>
      <c r="F101" s="176" t="s">
        <v>326</v>
      </c>
      <c r="G101" s="174"/>
      <c r="H101" s="174" t="s">
        <v>321</v>
      </c>
      <c r="I101" s="174"/>
      <c r="J101" s="174" t="s">
        <v>321</v>
      </c>
      <c r="K101" s="174" t="s">
        <v>321</v>
      </c>
      <c r="L101" s="174" t="s">
        <v>321</v>
      </c>
      <c r="M101" s="174"/>
      <c r="N101" s="174"/>
      <c r="O101" s="174"/>
      <c r="P101" s="174"/>
      <c r="Q101" s="174"/>
      <c r="R101" s="174"/>
      <c r="S101" s="174"/>
    </row>
    <row r="102" hidden="1">
      <c r="A102" s="175" t="s">
        <v>450</v>
      </c>
      <c r="B102" s="176" t="s">
        <v>451</v>
      </c>
      <c r="C102" s="177" t="s">
        <v>423</v>
      </c>
      <c r="D102" s="176"/>
      <c r="E102" s="176" t="s">
        <v>319</v>
      </c>
      <c r="F102" s="176" t="s">
        <v>326</v>
      </c>
      <c r="G102" s="174"/>
      <c r="H102" s="174" t="s">
        <v>321</v>
      </c>
      <c r="I102" s="174"/>
      <c r="J102" s="174" t="s">
        <v>321</v>
      </c>
      <c r="K102" s="174" t="s">
        <v>321</v>
      </c>
      <c r="L102" s="174" t="s">
        <v>321</v>
      </c>
      <c r="M102" s="174"/>
      <c r="N102" s="174"/>
      <c r="O102" s="174"/>
      <c r="P102" s="174"/>
      <c r="Q102" s="174"/>
      <c r="R102" s="174"/>
      <c r="S102" s="174"/>
    </row>
    <row r="103" hidden="1">
      <c r="A103" s="175" t="s">
        <v>424</v>
      </c>
      <c r="B103" s="176" t="s">
        <v>452</v>
      </c>
      <c r="C103" s="177" t="s">
        <v>171</v>
      </c>
      <c r="D103" s="176"/>
      <c r="E103" s="176" t="s">
        <v>319</v>
      </c>
      <c r="F103" s="176" t="s">
        <v>324</v>
      </c>
      <c r="G103" s="174"/>
      <c r="H103" s="174" t="s">
        <v>321</v>
      </c>
      <c r="I103" s="174"/>
      <c r="J103" s="174" t="s">
        <v>321</v>
      </c>
      <c r="K103" s="174" t="s">
        <v>321</v>
      </c>
      <c r="L103" s="174" t="s">
        <v>321</v>
      </c>
      <c r="M103" s="174" t="s">
        <v>321</v>
      </c>
      <c r="N103" s="174"/>
      <c r="O103" s="174"/>
      <c r="P103" s="174"/>
      <c r="Q103" s="174"/>
      <c r="R103" s="174"/>
      <c r="S103" s="174"/>
    </row>
    <row r="104" hidden="1">
      <c r="A104" s="175" t="s">
        <v>419</v>
      </c>
      <c r="B104" s="176" t="s">
        <v>453</v>
      </c>
      <c r="C104" s="177" t="s">
        <v>454</v>
      </c>
      <c r="D104" s="176"/>
      <c r="E104" s="176" t="s">
        <v>319</v>
      </c>
      <c r="F104" s="176" t="s">
        <v>326</v>
      </c>
      <c r="G104" s="174"/>
      <c r="H104" s="174" t="s">
        <v>321</v>
      </c>
      <c r="I104" s="174" t="s">
        <v>321</v>
      </c>
      <c r="J104" s="174" t="s">
        <v>321</v>
      </c>
      <c r="K104" s="174" t="s">
        <v>321</v>
      </c>
      <c r="L104" s="174" t="s">
        <v>321</v>
      </c>
      <c r="M104" s="174"/>
      <c r="N104" s="174"/>
      <c r="O104" s="174"/>
      <c r="P104" s="174"/>
      <c r="Q104" s="174"/>
      <c r="R104" s="174"/>
      <c r="S104" s="174"/>
    </row>
    <row r="105" hidden="1">
      <c r="A105" s="175" t="s">
        <v>424</v>
      </c>
      <c r="B105" s="176" t="s">
        <v>455</v>
      </c>
      <c r="C105" s="177" t="s">
        <v>171</v>
      </c>
      <c r="D105" s="176"/>
      <c r="E105" s="176" t="s">
        <v>319</v>
      </c>
      <c r="F105" s="176" t="s">
        <v>324</v>
      </c>
      <c r="G105" s="174"/>
      <c r="H105" s="174" t="s">
        <v>321</v>
      </c>
      <c r="I105" s="174"/>
      <c r="J105" s="174" t="s">
        <v>321</v>
      </c>
      <c r="K105" s="174" t="s">
        <v>321</v>
      </c>
      <c r="L105" s="174"/>
      <c r="M105" s="174" t="s">
        <v>321</v>
      </c>
      <c r="N105" s="169" t="s">
        <v>321</v>
      </c>
      <c r="O105" s="169" t="s">
        <v>321</v>
      </c>
      <c r="P105" s="169" t="s">
        <v>321</v>
      </c>
      <c r="Q105" s="169"/>
      <c r="R105" s="169"/>
      <c r="S105" s="169"/>
    </row>
    <row r="106" hidden="1">
      <c r="A106" s="175" t="s">
        <v>456</v>
      </c>
      <c r="B106" s="175" t="s">
        <v>457</v>
      </c>
      <c r="C106" s="177" t="s">
        <v>184</v>
      </c>
      <c r="D106" s="177" t="s">
        <v>458</v>
      </c>
      <c r="E106" s="176" t="s">
        <v>319</v>
      </c>
      <c r="F106" s="176" t="s">
        <v>324</v>
      </c>
      <c r="G106" s="174" t="s">
        <v>321</v>
      </c>
      <c r="H106" s="174"/>
      <c r="I106" s="174"/>
      <c r="J106" s="174"/>
      <c r="K106" s="174"/>
      <c r="L106" s="174"/>
      <c r="M106" s="174" t="s">
        <v>321</v>
      </c>
      <c r="N106" s="169" t="s">
        <v>321</v>
      </c>
      <c r="O106" s="174" t="s">
        <v>321</v>
      </c>
      <c r="P106" s="174"/>
      <c r="Q106" s="174"/>
      <c r="R106" s="174"/>
      <c r="S106" s="174"/>
    </row>
    <row r="107" hidden="1">
      <c r="A107" s="175" t="s">
        <v>459</v>
      </c>
      <c r="B107" s="176" t="s">
        <v>460</v>
      </c>
      <c r="C107" s="177" t="s">
        <v>101</v>
      </c>
      <c r="D107" s="177" t="s">
        <v>423</v>
      </c>
      <c r="E107" s="176" t="s">
        <v>319</v>
      </c>
      <c r="F107" s="176" t="s">
        <v>326</v>
      </c>
      <c r="G107" s="174"/>
      <c r="H107" s="174" t="s">
        <v>321</v>
      </c>
      <c r="I107" s="174" t="s">
        <v>321</v>
      </c>
      <c r="J107" s="174"/>
      <c r="K107" s="174"/>
      <c r="L107" s="169"/>
      <c r="M107" s="169"/>
      <c r="N107" s="169"/>
      <c r="O107" s="169"/>
      <c r="P107" s="169"/>
      <c r="Q107" s="169"/>
      <c r="R107" s="169"/>
      <c r="S107" s="169"/>
    </row>
    <row r="108" hidden="1">
      <c r="A108" s="175" t="s">
        <v>459</v>
      </c>
      <c r="B108" s="176" t="s">
        <v>461</v>
      </c>
      <c r="C108" s="177" t="s">
        <v>101</v>
      </c>
      <c r="D108" s="177" t="s">
        <v>423</v>
      </c>
      <c r="E108" s="176" t="s">
        <v>319</v>
      </c>
      <c r="F108" s="176" t="s">
        <v>326</v>
      </c>
      <c r="G108" s="174"/>
      <c r="H108" s="174" t="s">
        <v>321</v>
      </c>
      <c r="I108" s="174"/>
      <c r="J108" s="174"/>
      <c r="K108" s="174"/>
      <c r="L108" s="169"/>
      <c r="M108" s="169"/>
      <c r="N108" s="169"/>
      <c r="O108" s="169"/>
      <c r="P108" s="169"/>
      <c r="Q108" s="169"/>
      <c r="R108" s="169"/>
      <c r="S108" s="169"/>
    </row>
    <row r="109" hidden="1">
      <c r="A109" s="175" t="s">
        <v>85</v>
      </c>
      <c r="B109" s="176" t="s">
        <v>462</v>
      </c>
      <c r="C109" s="177" t="s">
        <v>184</v>
      </c>
      <c r="D109" s="177" t="s">
        <v>318</v>
      </c>
      <c r="E109" s="176" t="s">
        <v>319</v>
      </c>
      <c r="F109" s="176" t="s">
        <v>324</v>
      </c>
      <c r="G109" s="174" t="s">
        <v>321</v>
      </c>
      <c r="H109" s="174"/>
      <c r="I109" s="174"/>
      <c r="J109" s="174"/>
      <c r="K109" s="174"/>
      <c r="L109" s="170"/>
      <c r="M109" s="170"/>
      <c r="N109" s="170"/>
      <c r="O109" s="170"/>
      <c r="P109" s="170"/>
      <c r="Q109" s="170"/>
      <c r="R109" s="170"/>
      <c r="S109" s="170"/>
    </row>
    <row r="110" hidden="1">
      <c r="A110" s="175" t="s">
        <v>85</v>
      </c>
      <c r="B110" s="176" t="s">
        <v>463</v>
      </c>
      <c r="C110" s="177" t="s">
        <v>184</v>
      </c>
      <c r="D110" s="177" t="s">
        <v>464</v>
      </c>
      <c r="E110" s="176" t="s">
        <v>319</v>
      </c>
      <c r="F110" s="176" t="s">
        <v>326</v>
      </c>
      <c r="G110" s="174" t="s">
        <v>321</v>
      </c>
      <c r="H110" s="174" t="s">
        <v>321</v>
      </c>
      <c r="I110" s="174" t="s">
        <v>321</v>
      </c>
      <c r="J110" s="174"/>
      <c r="K110" s="174"/>
      <c r="L110" s="170"/>
      <c r="M110" s="170"/>
      <c r="N110" s="170"/>
      <c r="O110" s="170"/>
      <c r="P110" s="170"/>
      <c r="Q110" s="170"/>
      <c r="R110" s="170"/>
      <c r="S110" s="170"/>
    </row>
    <row r="111" hidden="1">
      <c r="A111" s="175" t="s">
        <v>85</v>
      </c>
      <c r="B111" s="176" t="s">
        <v>465</v>
      </c>
      <c r="C111" s="177" t="s">
        <v>184</v>
      </c>
      <c r="D111" s="177" t="s">
        <v>464</v>
      </c>
      <c r="E111" s="176" t="s">
        <v>319</v>
      </c>
      <c r="F111" s="176" t="s">
        <v>326</v>
      </c>
      <c r="G111" s="174" t="s">
        <v>321</v>
      </c>
      <c r="H111" s="174" t="s">
        <v>321</v>
      </c>
      <c r="I111" s="174" t="s">
        <v>321</v>
      </c>
      <c r="J111" s="174"/>
      <c r="K111" s="174"/>
      <c r="L111" s="170"/>
      <c r="M111" s="170"/>
      <c r="N111" s="170"/>
      <c r="O111" s="170"/>
      <c r="P111" s="170"/>
      <c r="Q111" s="170"/>
      <c r="R111" s="170"/>
      <c r="S111" s="170"/>
    </row>
    <row r="112" hidden="1">
      <c r="A112" s="175" t="s">
        <v>85</v>
      </c>
      <c r="B112" s="176" t="s">
        <v>466</v>
      </c>
      <c r="C112" s="177" t="s">
        <v>184</v>
      </c>
      <c r="D112" s="177" t="s">
        <v>464</v>
      </c>
      <c r="E112" s="176" t="s">
        <v>319</v>
      </c>
      <c r="F112" s="176" t="s">
        <v>326</v>
      </c>
      <c r="G112" s="174" t="s">
        <v>321</v>
      </c>
      <c r="H112" s="174" t="s">
        <v>321</v>
      </c>
      <c r="I112" s="174" t="s">
        <v>321</v>
      </c>
      <c r="J112" s="174"/>
      <c r="K112" s="174"/>
      <c r="L112" s="170"/>
      <c r="M112" s="170"/>
      <c r="N112" s="170"/>
      <c r="O112" s="170"/>
      <c r="P112" s="170"/>
      <c r="Q112" s="170"/>
      <c r="R112" s="170"/>
      <c r="S112" s="170"/>
    </row>
    <row r="113" hidden="1">
      <c r="A113" s="175" t="s">
        <v>467</v>
      </c>
      <c r="B113" s="176" t="s">
        <v>468</v>
      </c>
      <c r="C113" s="177" t="s">
        <v>101</v>
      </c>
      <c r="D113" s="176"/>
      <c r="E113" s="176" t="s">
        <v>319</v>
      </c>
      <c r="F113" s="176" t="s">
        <v>320</v>
      </c>
      <c r="G113" s="174"/>
      <c r="H113" s="174" t="s">
        <v>321</v>
      </c>
      <c r="I113" s="174"/>
      <c r="J113" s="174"/>
      <c r="K113" s="174"/>
      <c r="L113" s="169"/>
      <c r="M113" s="169"/>
      <c r="N113" s="169"/>
      <c r="O113" s="169"/>
      <c r="P113" s="169"/>
      <c r="Q113" s="169"/>
      <c r="R113" s="169"/>
      <c r="S113" s="169"/>
    </row>
    <row r="114" hidden="1">
      <c r="A114" s="175" t="s">
        <v>469</v>
      </c>
      <c r="B114" s="176" t="s">
        <v>470</v>
      </c>
      <c r="C114" s="176" t="s">
        <v>333</v>
      </c>
      <c r="D114" s="176"/>
      <c r="E114" s="176" t="s">
        <v>319</v>
      </c>
      <c r="F114" s="176" t="s">
        <v>320</v>
      </c>
      <c r="G114" s="174"/>
      <c r="H114" s="174"/>
      <c r="I114" s="174"/>
      <c r="J114" s="174"/>
      <c r="K114" s="174"/>
      <c r="L114" s="169"/>
      <c r="M114" s="169"/>
      <c r="N114" s="169"/>
      <c r="O114" s="169"/>
      <c r="P114" s="169"/>
      <c r="Q114" s="169"/>
      <c r="R114" s="169"/>
      <c r="S114" s="169"/>
    </row>
    <row r="115" hidden="1">
      <c r="A115" s="175" t="s">
        <v>471</v>
      </c>
      <c r="B115" s="176" t="s">
        <v>472</v>
      </c>
      <c r="C115" s="176" t="s">
        <v>333</v>
      </c>
      <c r="D115" s="176"/>
      <c r="E115" s="176" t="s">
        <v>319</v>
      </c>
      <c r="F115" s="176" t="s">
        <v>320</v>
      </c>
      <c r="G115" s="174"/>
      <c r="H115" s="174"/>
      <c r="I115" s="174"/>
      <c r="J115" s="174"/>
      <c r="K115" s="174"/>
      <c r="L115" s="169"/>
      <c r="M115" s="169"/>
      <c r="N115" s="169"/>
      <c r="O115" s="169"/>
      <c r="P115" s="169"/>
      <c r="Q115" s="169"/>
      <c r="R115" s="169"/>
      <c r="S115" s="169"/>
    </row>
    <row r="116" hidden="1">
      <c r="A116" s="175" t="s">
        <v>450</v>
      </c>
      <c r="B116" s="176" t="s">
        <v>473</v>
      </c>
      <c r="C116" s="176" t="s">
        <v>333</v>
      </c>
      <c r="D116" s="176"/>
      <c r="E116" s="176" t="s">
        <v>319</v>
      </c>
      <c r="F116" s="176" t="s">
        <v>324</v>
      </c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</row>
    <row r="117" hidden="1">
      <c r="A117" s="175" t="s">
        <v>394</v>
      </c>
      <c r="B117" s="176" t="s">
        <v>474</v>
      </c>
      <c r="C117" s="176" t="s">
        <v>333</v>
      </c>
      <c r="D117" s="176"/>
      <c r="E117" s="176" t="s">
        <v>319</v>
      </c>
      <c r="F117" s="176" t="s">
        <v>326</v>
      </c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</row>
    <row r="118" hidden="1">
      <c r="A118" s="175" t="s">
        <v>366</v>
      </c>
      <c r="B118" s="176" t="s">
        <v>475</v>
      </c>
      <c r="C118" s="176" t="s">
        <v>333</v>
      </c>
      <c r="D118" s="176"/>
      <c r="E118" s="176" t="s">
        <v>319</v>
      </c>
      <c r="F118" s="176" t="s">
        <v>324</v>
      </c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</row>
    <row r="119" hidden="1">
      <c r="A119" s="175" t="s">
        <v>366</v>
      </c>
      <c r="B119" s="176" t="s">
        <v>476</v>
      </c>
      <c r="C119" s="176" t="s">
        <v>333</v>
      </c>
      <c r="D119" s="176"/>
      <c r="E119" s="176" t="s">
        <v>319</v>
      </c>
      <c r="F119" s="176" t="s">
        <v>324</v>
      </c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</row>
    <row r="120" hidden="1">
      <c r="A120" s="175" t="s">
        <v>477</v>
      </c>
      <c r="B120" s="176" t="s">
        <v>478</v>
      </c>
      <c r="C120" s="176" t="s">
        <v>333</v>
      </c>
      <c r="D120" s="176"/>
      <c r="E120" s="176" t="s">
        <v>319</v>
      </c>
      <c r="F120" s="176" t="s">
        <v>324</v>
      </c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</row>
    <row r="121" hidden="1">
      <c r="A121" s="175" t="s">
        <v>366</v>
      </c>
      <c r="B121" s="176" t="s">
        <v>479</v>
      </c>
      <c r="C121" s="176" t="s">
        <v>333</v>
      </c>
      <c r="D121" s="176"/>
      <c r="E121" s="176" t="s">
        <v>319</v>
      </c>
      <c r="F121" s="176" t="s">
        <v>326</v>
      </c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</row>
    <row r="122" hidden="1">
      <c r="A122" s="175" t="s">
        <v>366</v>
      </c>
      <c r="B122" s="176" t="s">
        <v>480</v>
      </c>
      <c r="C122" s="176" t="s">
        <v>333</v>
      </c>
      <c r="D122" s="176"/>
      <c r="E122" s="176" t="s">
        <v>319</v>
      </c>
      <c r="F122" s="176" t="s">
        <v>326</v>
      </c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</row>
    <row r="123" hidden="1">
      <c r="A123" s="175" t="s">
        <v>366</v>
      </c>
      <c r="B123" s="176" t="s">
        <v>481</v>
      </c>
      <c r="C123" s="176" t="s">
        <v>333</v>
      </c>
      <c r="D123" s="176"/>
      <c r="E123" s="176" t="s">
        <v>319</v>
      </c>
      <c r="F123" s="176" t="s">
        <v>326</v>
      </c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</row>
    <row r="124" hidden="1">
      <c r="A124" s="175" t="s">
        <v>366</v>
      </c>
      <c r="B124" s="176" t="s">
        <v>482</v>
      </c>
      <c r="C124" s="176" t="s">
        <v>333</v>
      </c>
      <c r="D124" s="176"/>
      <c r="E124" s="176" t="s">
        <v>319</v>
      </c>
      <c r="F124" s="176" t="s">
        <v>326</v>
      </c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</row>
    <row r="125" hidden="1">
      <c r="A125" s="175" t="s">
        <v>366</v>
      </c>
      <c r="B125" s="176" t="s">
        <v>483</v>
      </c>
      <c r="C125" s="176" t="s">
        <v>333</v>
      </c>
      <c r="D125" s="176"/>
      <c r="E125" s="176" t="s">
        <v>319</v>
      </c>
      <c r="F125" s="176" t="s">
        <v>326</v>
      </c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</row>
    <row r="126" hidden="1">
      <c r="A126" s="175" t="s">
        <v>366</v>
      </c>
      <c r="B126" s="176" t="s">
        <v>484</v>
      </c>
      <c r="C126" s="176" t="s">
        <v>333</v>
      </c>
      <c r="D126" s="176"/>
      <c r="E126" s="176" t="s">
        <v>319</v>
      </c>
      <c r="F126" s="176" t="s">
        <v>326</v>
      </c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</row>
    <row r="127" hidden="1">
      <c r="A127" s="175" t="s">
        <v>85</v>
      </c>
      <c r="B127" s="176" t="s">
        <v>485</v>
      </c>
      <c r="C127" s="176" t="s">
        <v>339</v>
      </c>
      <c r="D127" s="176"/>
      <c r="E127" s="176" t="s">
        <v>319</v>
      </c>
      <c r="F127" s="176" t="s">
        <v>326</v>
      </c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</row>
    <row r="128" hidden="1">
      <c r="A128" s="175" t="s">
        <v>404</v>
      </c>
      <c r="B128" s="176" t="s">
        <v>486</v>
      </c>
      <c r="C128" s="176" t="s">
        <v>333</v>
      </c>
      <c r="D128" s="176"/>
      <c r="E128" s="176" t="s">
        <v>319</v>
      </c>
      <c r="F128" s="176" t="s">
        <v>326</v>
      </c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</row>
    <row r="129" hidden="1">
      <c r="A129" s="175" t="s">
        <v>487</v>
      </c>
      <c r="B129" s="176" t="s">
        <v>488</v>
      </c>
      <c r="C129" s="176" t="s">
        <v>333</v>
      </c>
      <c r="D129" s="176"/>
      <c r="E129" s="176" t="s">
        <v>319</v>
      </c>
      <c r="F129" s="176" t="s">
        <v>324</v>
      </c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</row>
    <row r="130" hidden="1">
      <c r="A130" s="175" t="s">
        <v>85</v>
      </c>
      <c r="B130" s="176" t="s">
        <v>489</v>
      </c>
      <c r="C130" s="176" t="s">
        <v>339</v>
      </c>
      <c r="D130" s="176"/>
      <c r="E130" s="176" t="s">
        <v>319</v>
      </c>
      <c r="F130" s="176" t="s">
        <v>326</v>
      </c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</row>
    <row r="131" hidden="1">
      <c r="A131" s="175" t="s">
        <v>490</v>
      </c>
      <c r="B131" s="176" t="s">
        <v>491</v>
      </c>
      <c r="C131" s="176" t="s">
        <v>333</v>
      </c>
      <c r="D131" s="176"/>
      <c r="E131" s="176" t="s">
        <v>319</v>
      </c>
      <c r="F131" s="176" t="s">
        <v>324</v>
      </c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</row>
    <row r="132" hidden="1">
      <c r="A132" s="175" t="s">
        <v>492</v>
      </c>
      <c r="B132" s="176" t="s">
        <v>493</v>
      </c>
      <c r="C132" s="176" t="s">
        <v>323</v>
      </c>
      <c r="D132" s="176"/>
      <c r="E132" s="176" t="s">
        <v>319</v>
      </c>
      <c r="F132" s="176" t="s">
        <v>326</v>
      </c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</row>
    <row r="133" hidden="1">
      <c r="A133" s="175" t="s">
        <v>494</v>
      </c>
      <c r="B133" s="176" t="s">
        <v>495</v>
      </c>
      <c r="C133" s="176" t="s">
        <v>333</v>
      </c>
      <c r="D133" s="176"/>
      <c r="E133" s="176" t="s">
        <v>319</v>
      </c>
      <c r="F133" s="176" t="s">
        <v>324</v>
      </c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</row>
    <row r="134" hidden="1">
      <c r="A134" s="175" t="s">
        <v>496</v>
      </c>
      <c r="B134" s="176" t="s">
        <v>497</v>
      </c>
      <c r="C134" s="176" t="s">
        <v>333</v>
      </c>
      <c r="D134" s="176"/>
      <c r="E134" s="176" t="s">
        <v>319</v>
      </c>
      <c r="F134" s="176" t="s">
        <v>324</v>
      </c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</row>
    <row r="135" hidden="1">
      <c r="A135" s="175" t="s">
        <v>477</v>
      </c>
      <c r="B135" s="176" t="s">
        <v>498</v>
      </c>
      <c r="C135" s="176" t="s">
        <v>333</v>
      </c>
      <c r="D135" s="176"/>
      <c r="E135" s="176" t="s">
        <v>319</v>
      </c>
      <c r="F135" s="176" t="s">
        <v>324</v>
      </c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</row>
    <row r="136" hidden="1">
      <c r="A136" s="176" t="s">
        <v>499</v>
      </c>
      <c r="B136" s="176" t="s">
        <v>500</v>
      </c>
      <c r="C136" s="176" t="s">
        <v>333</v>
      </c>
      <c r="D136" s="176"/>
      <c r="E136" s="176" t="s">
        <v>319</v>
      </c>
      <c r="F136" s="176" t="s">
        <v>324</v>
      </c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</row>
    <row r="137" hidden="1">
      <c r="A137" s="175" t="s">
        <v>494</v>
      </c>
      <c r="B137" s="176" t="s">
        <v>501</v>
      </c>
      <c r="C137" s="176" t="s">
        <v>333</v>
      </c>
      <c r="D137" s="176"/>
      <c r="E137" s="176" t="s">
        <v>319</v>
      </c>
      <c r="F137" s="176" t="s">
        <v>324</v>
      </c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</row>
    <row r="138" hidden="1">
      <c r="A138" s="175" t="s">
        <v>342</v>
      </c>
      <c r="B138" s="176" t="s">
        <v>502</v>
      </c>
      <c r="C138" s="176" t="s">
        <v>323</v>
      </c>
      <c r="D138" s="176"/>
      <c r="E138" s="176" t="s">
        <v>319</v>
      </c>
      <c r="F138" s="176" t="s">
        <v>324</v>
      </c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</row>
    <row r="139" hidden="1">
      <c r="A139" s="175" t="s">
        <v>477</v>
      </c>
      <c r="B139" s="176" t="s">
        <v>503</v>
      </c>
      <c r="C139" s="176" t="s">
        <v>333</v>
      </c>
      <c r="D139" s="176"/>
      <c r="E139" s="176" t="s">
        <v>319</v>
      </c>
      <c r="F139" s="176" t="s">
        <v>320</v>
      </c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</row>
    <row r="140" hidden="1">
      <c r="A140" s="175" t="s">
        <v>477</v>
      </c>
      <c r="B140" s="176" t="s">
        <v>504</v>
      </c>
      <c r="C140" s="176" t="s">
        <v>333</v>
      </c>
      <c r="D140" s="176"/>
      <c r="E140" s="176" t="s">
        <v>319</v>
      </c>
      <c r="F140" s="176" t="s">
        <v>320</v>
      </c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</row>
    <row r="141" hidden="1">
      <c r="A141" s="175" t="s">
        <v>477</v>
      </c>
      <c r="B141" s="176" t="s">
        <v>505</v>
      </c>
      <c r="C141" s="176" t="s">
        <v>333</v>
      </c>
      <c r="D141" s="176"/>
      <c r="E141" s="176" t="s">
        <v>319</v>
      </c>
      <c r="F141" s="176" t="s">
        <v>320</v>
      </c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</row>
    <row r="142" hidden="1">
      <c r="A142" s="175" t="s">
        <v>477</v>
      </c>
      <c r="B142" s="176" t="s">
        <v>506</v>
      </c>
      <c r="C142" s="176" t="s">
        <v>333</v>
      </c>
      <c r="D142" s="176"/>
      <c r="E142" s="176" t="s">
        <v>319</v>
      </c>
      <c r="F142" s="176" t="s">
        <v>320</v>
      </c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</row>
    <row r="143" hidden="1">
      <c r="A143" s="175" t="s">
        <v>355</v>
      </c>
      <c r="B143" s="176" t="s">
        <v>507</v>
      </c>
      <c r="C143" s="176" t="s">
        <v>323</v>
      </c>
      <c r="D143" s="176"/>
      <c r="E143" s="176" t="s">
        <v>319</v>
      </c>
      <c r="F143" s="176" t="s">
        <v>326</v>
      </c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</row>
    <row r="144" hidden="1">
      <c r="A144" s="175" t="s">
        <v>85</v>
      </c>
      <c r="B144" s="176" t="s">
        <v>508</v>
      </c>
      <c r="C144" s="176" t="s">
        <v>339</v>
      </c>
      <c r="D144" s="176"/>
      <c r="E144" s="176" t="s">
        <v>319</v>
      </c>
      <c r="F144" s="176" t="s">
        <v>326</v>
      </c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</row>
    <row r="145" hidden="1">
      <c r="A145" s="175" t="s">
        <v>492</v>
      </c>
      <c r="B145" s="176" t="s">
        <v>509</v>
      </c>
      <c r="C145" s="176" t="s">
        <v>323</v>
      </c>
      <c r="D145" s="176"/>
      <c r="E145" s="176" t="s">
        <v>319</v>
      </c>
      <c r="F145" s="176" t="s">
        <v>326</v>
      </c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</row>
    <row r="146" hidden="1">
      <c r="A146" s="175" t="s">
        <v>85</v>
      </c>
      <c r="B146" s="176" t="s">
        <v>510</v>
      </c>
      <c r="C146" s="176" t="s">
        <v>339</v>
      </c>
      <c r="D146" s="176"/>
      <c r="E146" s="176" t="s">
        <v>319</v>
      </c>
      <c r="F146" s="176" t="s">
        <v>326</v>
      </c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</row>
    <row r="147" hidden="1">
      <c r="A147" s="175" t="s">
        <v>372</v>
      </c>
      <c r="B147" s="176" t="s">
        <v>511</v>
      </c>
      <c r="C147" s="176" t="s">
        <v>333</v>
      </c>
      <c r="D147" s="176"/>
      <c r="E147" s="176" t="s">
        <v>319</v>
      </c>
      <c r="F147" s="176" t="s">
        <v>326</v>
      </c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</row>
    <row r="148" hidden="1">
      <c r="A148" s="175" t="s">
        <v>85</v>
      </c>
      <c r="B148" s="176" t="s">
        <v>512</v>
      </c>
      <c r="C148" s="176" t="s">
        <v>318</v>
      </c>
      <c r="D148" s="176"/>
      <c r="E148" s="176" t="s">
        <v>319</v>
      </c>
      <c r="F148" s="176" t="s">
        <v>324</v>
      </c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</row>
    <row r="149" hidden="1">
      <c r="A149" s="175" t="s">
        <v>513</v>
      </c>
      <c r="B149" s="176" t="s">
        <v>514</v>
      </c>
      <c r="C149" s="176" t="s">
        <v>339</v>
      </c>
      <c r="D149" s="176"/>
      <c r="E149" s="176" t="s">
        <v>319</v>
      </c>
      <c r="F149" s="176" t="s">
        <v>324</v>
      </c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</row>
    <row r="150" hidden="1">
      <c r="A150" s="175" t="s">
        <v>366</v>
      </c>
      <c r="B150" s="176" t="s">
        <v>515</v>
      </c>
      <c r="C150" s="176" t="s">
        <v>341</v>
      </c>
      <c r="D150" s="176"/>
      <c r="E150" s="176" t="s">
        <v>319</v>
      </c>
      <c r="F150" s="176" t="s">
        <v>326</v>
      </c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</row>
    <row r="151" hidden="1">
      <c r="A151" s="175" t="s">
        <v>394</v>
      </c>
      <c r="B151" s="176" t="s">
        <v>516</v>
      </c>
      <c r="C151" s="176" t="s">
        <v>341</v>
      </c>
      <c r="D151" s="176"/>
      <c r="E151" s="176" t="s">
        <v>319</v>
      </c>
      <c r="F151" s="176" t="s">
        <v>326</v>
      </c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</row>
    <row r="152" hidden="1">
      <c r="A152" s="175" t="s">
        <v>517</v>
      </c>
      <c r="B152" s="176" t="s">
        <v>518</v>
      </c>
      <c r="C152" s="176" t="s">
        <v>333</v>
      </c>
      <c r="D152" s="176"/>
      <c r="E152" s="176" t="s">
        <v>319</v>
      </c>
      <c r="F152" s="176" t="s">
        <v>320</v>
      </c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</row>
    <row r="153" hidden="1">
      <c r="A153" s="175" t="s">
        <v>394</v>
      </c>
      <c r="B153" s="176" t="s">
        <v>519</v>
      </c>
      <c r="C153" s="176" t="s">
        <v>341</v>
      </c>
      <c r="D153" s="176"/>
      <c r="E153" s="176" t="s">
        <v>319</v>
      </c>
      <c r="F153" s="176" t="s">
        <v>326</v>
      </c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</row>
    <row r="154" hidden="1">
      <c r="A154" s="175" t="s">
        <v>394</v>
      </c>
      <c r="B154" s="176" t="s">
        <v>520</v>
      </c>
      <c r="C154" s="176" t="s">
        <v>341</v>
      </c>
      <c r="D154" s="176"/>
      <c r="E154" s="176" t="s">
        <v>319</v>
      </c>
      <c r="F154" s="176" t="s">
        <v>326</v>
      </c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</row>
    <row r="155" hidden="1">
      <c r="A155" s="175" t="s">
        <v>521</v>
      </c>
      <c r="B155" s="175" t="s">
        <v>522</v>
      </c>
      <c r="C155" s="176" t="s">
        <v>341</v>
      </c>
      <c r="D155" s="176"/>
      <c r="E155" s="176" t="s">
        <v>319</v>
      </c>
      <c r="F155" s="176" t="s">
        <v>326</v>
      </c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</row>
    <row r="156" hidden="1">
      <c r="A156" s="175" t="s">
        <v>521</v>
      </c>
      <c r="B156" s="175" t="s">
        <v>523</v>
      </c>
      <c r="C156" s="176" t="s">
        <v>341</v>
      </c>
      <c r="D156" s="176"/>
      <c r="E156" s="176" t="s">
        <v>319</v>
      </c>
      <c r="F156" s="176" t="s">
        <v>326</v>
      </c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</row>
    <row r="157" hidden="1">
      <c r="A157" s="175" t="s">
        <v>521</v>
      </c>
      <c r="B157" s="176" t="s">
        <v>524</v>
      </c>
      <c r="C157" s="176" t="s">
        <v>341</v>
      </c>
      <c r="D157" s="176"/>
      <c r="E157" s="176" t="s">
        <v>319</v>
      </c>
      <c r="F157" s="176" t="s">
        <v>326</v>
      </c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</row>
    <row r="158" hidden="1">
      <c r="A158" s="175" t="s">
        <v>513</v>
      </c>
      <c r="B158" s="176" t="s">
        <v>525</v>
      </c>
      <c r="C158" s="176" t="s">
        <v>339</v>
      </c>
      <c r="D158" s="176"/>
      <c r="E158" s="176" t="s">
        <v>319</v>
      </c>
      <c r="F158" s="176" t="s">
        <v>326</v>
      </c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</row>
    <row r="159" hidden="1">
      <c r="A159" s="175" t="s">
        <v>513</v>
      </c>
      <c r="B159" s="176" t="s">
        <v>526</v>
      </c>
      <c r="C159" s="176" t="s">
        <v>339</v>
      </c>
      <c r="D159" s="176"/>
      <c r="E159" s="176" t="s">
        <v>319</v>
      </c>
      <c r="F159" s="176" t="s">
        <v>326</v>
      </c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</row>
    <row r="160" hidden="1">
      <c r="A160" s="175" t="s">
        <v>513</v>
      </c>
      <c r="B160" s="176" t="s">
        <v>527</v>
      </c>
      <c r="C160" s="176" t="s">
        <v>333</v>
      </c>
      <c r="D160" s="176"/>
      <c r="E160" s="176" t="s">
        <v>319</v>
      </c>
      <c r="F160" s="176" t="s">
        <v>324</v>
      </c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</row>
    <row r="161" hidden="1">
      <c r="A161" s="175" t="s">
        <v>513</v>
      </c>
      <c r="B161" s="176" t="s">
        <v>528</v>
      </c>
      <c r="C161" s="176" t="s">
        <v>341</v>
      </c>
      <c r="D161" s="176"/>
      <c r="E161" s="176" t="s">
        <v>319</v>
      </c>
      <c r="F161" s="176" t="s">
        <v>324</v>
      </c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</row>
    <row r="162" hidden="1">
      <c r="A162" s="175" t="s">
        <v>513</v>
      </c>
      <c r="B162" s="176" t="s">
        <v>529</v>
      </c>
      <c r="C162" s="176" t="s">
        <v>339</v>
      </c>
      <c r="D162" s="176"/>
      <c r="E162" s="176" t="s">
        <v>319</v>
      </c>
      <c r="F162" s="176" t="s">
        <v>324</v>
      </c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</row>
    <row r="163" hidden="1">
      <c r="A163" s="175" t="s">
        <v>513</v>
      </c>
      <c r="B163" s="176" t="s">
        <v>530</v>
      </c>
      <c r="C163" s="176" t="s">
        <v>339</v>
      </c>
      <c r="D163" s="176"/>
      <c r="E163" s="176" t="s">
        <v>319</v>
      </c>
      <c r="F163" s="176" t="s">
        <v>324</v>
      </c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</row>
    <row r="164" hidden="1">
      <c r="A164" s="175" t="s">
        <v>370</v>
      </c>
      <c r="B164" s="176" t="s">
        <v>531</v>
      </c>
      <c r="C164" s="176" t="s">
        <v>341</v>
      </c>
      <c r="D164" s="176"/>
      <c r="E164" s="176" t="s">
        <v>319</v>
      </c>
      <c r="F164" s="176" t="s">
        <v>324</v>
      </c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</row>
    <row r="165" hidden="1">
      <c r="A165" s="175" t="s">
        <v>532</v>
      </c>
      <c r="B165" s="176" t="s">
        <v>533</v>
      </c>
      <c r="C165" s="176" t="s">
        <v>339</v>
      </c>
      <c r="D165" s="176"/>
      <c r="E165" s="176" t="s">
        <v>319</v>
      </c>
      <c r="F165" s="176" t="s">
        <v>326</v>
      </c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</row>
    <row r="166" hidden="1">
      <c r="A166" s="175" t="s">
        <v>370</v>
      </c>
      <c r="B166" s="176" t="s">
        <v>534</v>
      </c>
      <c r="C166" s="176" t="s">
        <v>341</v>
      </c>
      <c r="D166" s="176"/>
      <c r="E166" s="176" t="s">
        <v>319</v>
      </c>
      <c r="F166" s="176" t="s">
        <v>326</v>
      </c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</row>
    <row r="167" hidden="1">
      <c r="A167" s="175" t="s">
        <v>450</v>
      </c>
      <c r="B167" s="176" t="s">
        <v>535</v>
      </c>
      <c r="C167" s="177" t="s">
        <v>208</v>
      </c>
      <c r="D167" s="176"/>
      <c r="E167" s="176" t="s">
        <v>319</v>
      </c>
      <c r="F167" s="176" t="s">
        <v>326</v>
      </c>
      <c r="G167" s="174" t="s">
        <v>321</v>
      </c>
      <c r="H167" s="174" t="s">
        <v>321</v>
      </c>
      <c r="I167" s="174"/>
      <c r="J167" s="174"/>
      <c r="K167" s="174"/>
      <c r="L167" s="170"/>
      <c r="M167" s="170"/>
      <c r="N167" s="170"/>
      <c r="O167" s="170"/>
      <c r="P167" s="170"/>
      <c r="Q167" s="170"/>
      <c r="R167" s="170"/>
      <c r="S167" s="170"/>
    </row>
    <row r="168" hidden="1">
      <c r="A168" s="175" t="s">
        <v>450</v>
      </c>
      <c r="B168" s="176" t="s">
        <v>536</v>
      </c>
      <c r="C168" s="177" t="s">
        <v>208</v>
      </c>
      <c r="D168" s="176"/>
      <c r="E168" s="176" t="s">
        <v>319</v>
      </c>
      <c r="F168" s="176" t="s">
        <v>326</v>
      </c>
      <c r="G168" s="174" t="s">
        <v>321</v>
      </c>
      <c r="H168" s="174" t="s">
        <v>321</v>
      </c>
      <c r="I168" s="174"/>
      <c r="J168" s="174"/>
      <c r="K168" s="174"/>
      <c r="L168" s="170"/>
      <c r="M168" s="170"/>
      <c r="N168" s="170"/>
      <c r="O168" s="170"/>
      <c r="P168" s="170"/>
      <c r="Q168" s="170"/>
      <c r="R168" s="170"/>
      <c r="S168" s="170"/>
    </row>
    <row r="169" hidden="1">
      <c r="A169" s="175" t="s">
        <v>450</v>
      </c>
      <c r="B169" s="176" t="s">
        <v>537</v>
      </c>
      <c r="C169" s="177" t="s">
        <v>208</v>
      </c>
      <c r="D169" s="176"/>
      <c r="E169" s="176" t="s">
        <v>319</v>
      </c>
      <c r="F169" s="176" t="s">
        <v>326</v>
      </c>
      <c r="G169" s="174" t="s">
        <v>321</v>
      </c>
      <c r="H169" s="174" t="s">
        <v>321</v>
      </c>
      <c r="I169" s="174"/>
      <c r="J169" s="174"/>
      <c r="K169" s="174"/>
      <c r="L169" s="170"/>
      <c r="M169" s="170"/>
      <c r="N169" s="170"/>
      <c r="O169" s="170"/>
      <c r="P169" s="170"/>
      <c r="Q169" s="170"/>
      <c r="R169" s="170"/>
      <c r="S169" s="170"/>
    </row>
    <row r="170" hidden="1">
      <c r="A170" s="175" t="s">
        <v>419</v>
      </c>
      <c r="B170" s="176" t="s">
        <v>538</v>
      </c>
      <c r="C170" s="177" t="s">
        <v>208</v>
      </c>
      <c r="D170" s="176"/>
      <c r="E170" s="176" t="s">
        <v>319</v>
      </c>
      <c r="F170" s="176" t="s">
        <v>326</v>
      </c>
      <c r="G170" s="174" t="s">
        <v>321</v>
      </c>
      <c r="H170" s="174" t="s">
        <v>321</v>
      </c>
      <c r="I170" s="174"/>
      <c r="J170" s="174"/>
      <c r="K170" s="174"/>
      <c r="L170" s="170"/>
      <c r="M170" s="170"/>
      <c r="N170" s="170"/>
      <c r="O170" s="170"/>
      <c r="P170" s="170"/>
      <c r="Q170" s="170"/>
      <c r="R170" s="170"/>
      <c r="S170" s="170"/>
    </row>
    <row r="171" hidden="1">
      <c r="A171" s="175" t="s">
        <v>424</v>
      </c>
      <c r="B171" s="176" t="s">
        <v>539</v>
      </c>
      <c r="C171" s="177" t="s">
        <v>171</v>
      </c>
      <c r="D171" s="176"/>
      <c r="E171" s="176" t="s">
        <v>319</v>
      </c>
      <c r="F171" s="176" t="s">
        <v>326</v>
      </c>
      <c r="G171" s="174"/>
      <c r="H171" s="174" t="s">
        <v>321</v>
      </c>
      <c r="I171" s="174" t="s">
        <v>321</v>
      </c>
      <c r="J171" s="174" t="s">
        <v>321</v>
      </c>
      <c r="K171" s="174" t="s">
        <v>321</v>
      </c>
      <c r="L171" s="170"/>
      <c r="M171" s="170"/>
      <c r="N171" s="170"/>
      <c r="O171" s="170"/>
      <c r="P171" s="170"/>
      <c r="Q171" s="170"/>
      <c r="R171" s="170"/>
      <c r="S171" s="170"/>
    </row>
    <row r="172" hidden="1">
      <c r="A172" s="175" t="s">
        <v>424</v>
      </c>
      <c r="B172" s="176" t="s">
        <v>540</v>
      </c>
      <c r="C172" s="177" t="s">
        <v>171</v>
      </c>
      <c r="D172" s="176"/>
      <c r="E172" s="176" t="s">
        <v>319</v>
      </c>
      <c r="F172" s="176" t="s">
        <v>326</v>
      </c>
      <c r="G172" s="174"/>
      <c r="H172" s="174" t="s">
        <v>321</v>
      </c>
      <c r="I172" s="174" t="s">
        <v>321</v>
      </c>
      <c r="J172" s="174"/>
      <c r="K172" s="174"/>
      <c r="L172" s="170"/>
      <c r="M172" s="170"/>
      <c r="N172" s="170"/>
      <c r="O172" s="170"/>
      <c r="P172" s="170"/>
      <c r="Q172" s="170"/>
      <c r="R172" s="170"/>
      <c r="S172" s="170"/>
    </row>
    <row r="173" hidden="1">
      <c r="A173" s="175" t="s">
        <v>450</v>
      </c>
      <c r="B173" s="176" t="s">
        <v>541</v>
      </c>
      <c r="C173" s="177" t="s">
        <v>423</v>
      </c>
      <c r="D173" s="177" t="s">
        <v>171</v>
      </c>
      <c r="E173" s="176" t="s">
        <v>319</v>
      </c>
      <c r="F173" s="176" t="s">
        <v>324</v>
      </c>
      <c r="G173" s="174"/>
      <c r="H173" s="174" t="s">
        <v>321</v>
      </c>
      <c r="I173" s="174" t="s">
        <v>321</v>
      </c>
      <c r="J173" s="174"/>
      <c r="K173" s="174"/>
      <c r="L173" s="170"/>
      <c r="M173" s="170"/>
      <c r="N173" s="170"/>
      <c r="O173" s="170"/>
      <c r="P173" s="170"/>
      <c r="Q173" s="170"/>
      <c r="R173" s="170"/>
      <c r="S173" s="170"/>
    </row>
    <row r="174" hidden="1">
      <c r="A174" s="175" t="s">
        <v>456</v>
      </c>
      <c r="B174" s="175" t="s">
        <v>542</v>
      </c>
      <c r="C174" s="177" t="s">
        <v>184</v>
      </c>
      <c r="D174" s="177" t="s">
        <v>454</v>
      </c>
      <c r="E174" s="176" t="s">
        <v>319</v>
      </c>
      <c r="F174" s="176" t="s">
        <v>324</v>
      </c>
      <c r="G174" s="174" t="s">
        <v>321</v>
      </c>
      <c r="H174" s="174"/>
      <c r="I174" s="174"/>
      <c r="J174" s="174"/>
      <c r="K174" s="174"/>
      <c r="L174" s="174"/>
      <c r="M174" s="174" t="s">
        <v>321</v>
      </c>
      <c r="N174" s="169" t="s">
        <v>321</v>
      </c>
      <c r="O174" s="169" t="s">
        <v>321</v>
      </c>
      <c r="P174" s="169"/>
      <c r="Q174" s="169"/>
      <c r="R174" s="169"/>
      <c r="S174" s="169"/>
    </row>
    <row r="175" hidden="1">
      <c r="A175" s="175" t="s">
        <v>85</v>
      </c>
      <c r="B175" s="175" t="s">
        <v>543</v>
      </c>
      <c r="C175" s="177" t="s">
        <v>184</v>
      </c>
      <c r="D175" s="176"/>
      <c r="E175" s="176" t="s">
        <v>319</v>
      </c>
      <c r="F175" s="176" t="s">
        <v>326</v>
      </c>
      <c r="G175" s="174" t="s">
        <v>321</v>
      </c>
      <c r="H175" s="174"/>
      <c r="I175" s="174"/>
      <c r="J175" s="174"/>
      <c r="K175" s="174"/>
      <c r="L175" s="174" t="s">
        <v>321</v>
      </c>
      <c r="M175" s="174" t="s">
        <v>321</v>
      </c>
      <c r="N175" s="169" t="s">
        <v>321</v>
      </c>
      <c r="O175" s="169" t="s">
        <v>321</v>
      </c>
      <c r="P175" s="169"/>
      <c r="Q175" s="169"/>
      <c r="R175" s="169"/>
      <c r="S175" s="169"/>
    </row>
    <row r="176" hidden="1">
      <c r="A176" s="175" t="s">
        <v>424</v>
      </c>
      <c r="B176" s="176" t="s">
        <v>544</v>
      </c>
      <c r="C176" s="177" t="s">
        <v>171</v>
      </c>
      <c r="D176" s="176"/>
      <c r="E176" s="176" t="s">
        <v>319</v>
      </c>
      <c r="F176" s="176" t="s">
        <v>324</v>
      </c>
      <c r="G176" s="174"/>
      <c r="H176" s="174" t="s">
        <v>321</v>
      </c>
      <c r="I176" s="174"/>
      <c r="J176" s="174" t="s">
        <v>321</v>
      </c>
      <c r="K176" s="174" t="s">
        <v>321</v>
      </c>
      <c r="L176" s="174"/>
      <c r="M176" s="174" t="s">
        <v>321</v>
      </c>
      <c r="N176" s="169" t="s">
        <v>321</v>
      </c>
      <c r="O176" s="169" t="s">
        <v>321</v>
      </c>
      <c r="P176" s="169" t="s">
        <v>321</v>
      </c>
      <c r="Q176" s="169"/>
      <c r="R176" s="169"/>
      <c r="S176" s="169"/>
    </row>
    <row r="177">
      <c r="A177" s="175" t="s">
        <v>545</v>
      </c>
      <c r="B177" s="176" t="s">
        <v>547</v>
      </c>
      <c r="C177" s="177" t="s">
        <v>171</v>
      </c>
      <c r="D177" s="176"/>
      <c r="E177" s="176" t="s">
        <v>428</v>
      </c>
      <c r="F177" s="176" t="s">
        <v>326</v>
      </c>
      <c r="G177" s="174"/>
      <c r="H177" s="174"/>
      <c r="I177" s="174" t="s">
        <v>321</v>
      </c>
      <c r="J177" s="174" t="s">
        <v>321</v>
      </c>
      <c r="K177" s="174" t="s">
        <v>321</v>
      </c>
      <c r="L177" s="174" t="s">
        <v>321</v>
      </c>
      <c r="M177" s="174" t="s">
        <v>321</v>
      </c>
      <c r="N177" s="169" t="s">
        <v>321</v>
      </c>
      <c r="O177" s="169" t="s">
        <v>321</v>
      </c>
      <c r="P177" s="169" t="s">
        <v>321</v>
      </c>
      <c r="Q177" s="169" t="s">
        <v>321</v>
      </c>
      <c r="R177" s="169" t="s">
        <v>321</v>
      </c>
      <c r="S177" s="169" t="s">
        <v>321</v>
      </c>
    </row>
    <row r="178">
      <c r="A178" s="175" t="s">
        <v>431</v>
      </c>
      <c r="B178" s="176" t="s">
        <v>432</v>
      </c>
      <c r="C178" s="177" t="s">
        <v>171</v>
      </c>
      <c r="D178" s="176"/>
      <c r="E178" s="176" t="s">
        <v>428</v>
      </c>
      <c r="F178" s="176" t="s">
        <v>326</v>
      </c>
      <c r="G178" s="174"/>
      <c r="H178" s="174"/>
      <c r="I178" s="174" t="s">
        <v>321</v>
      </c>
      <c r="J178" s="174" t="s">
        <v>321</v>
      </c>
      <c r="K178" s="174" t="s">
        <v>321</v>
      </c>
      <c r="L178" s="174" t="s">
        <v>321</v>
      </c>
      <c r="M178" s="174" t="s">
        <v>321</v>
      </c>
      <c r="N178" s="169" t="s">
        <v>321</v>
      </c>
      <c r="O178" s="169" t="s">
        <v>321</v>
      </c>
      <c r="P178" s="169" t="s">
        <v>321</v>
      </c>
      <c r="Q178" s="169" t="s">
        <v>321</v>
      </c>
      <c r="R178" s="169" t="s">
        <v>321</v>
      </c>
      <c r="S178" s="169" t="s">
        <v>321</v>
      </c>
    </row>
    <row r="179" hidden="1">
      <c r="A179" s="175" t="s">
        <v>85</v>
      </c>
      <c r="B179" s="175" t="s">
        <v>548</v>
      </c>
      <c r="C179" s="177" t="s">
        <v>184</v>
      </c>
      <c r="D179" s="177" t="s">
        <v>318</v>
      </c>
      <c r="E179" s="176" t="s">
        <v>319</v>
      </c>
      <c r="F179" s="176" t="s">
        <v>324</v>
      </c>
      <c r="G179" s="174" t="s">
        <v>321</v>
      </c>
      <c r="H179" s="174"/>
      <c r="I179" s="174"/>
      <c r="J179" s="174"/>
      <c r="K179" s="174"/>
      <c r="L179" s="174" t="s">
        <v>321</v>
      </c>
      <c r="M179" s="174"/>
      <c r="N179" s="174"/>
      <c r="O179" s="174" t="s">
        <v>321</v>
      </c>
      <c r="P179" s="174"/>
      <c r="Q179" s="174"/>
      <c r="R179" s="174"/>
      <c r="S179" s="174"/>
    </row>
    <row r="180" hidden="1">
      <c r="A180" s="175" t="s">
        <v>421</v>
      </c>
      <c r="B180" s="176" t="s">
        <v>549</v>
      </c>
      <c r="C180" s="177" t="s">
        <v>423</v>
      </c>
      <c r="D180" s="176"/>
      <c r="E180" s="176" t="s">
        <v>319</v>
      </c>
      <c r="F180" s="176" t="s">
        <v>326</v>
      </c>
      <c r="G180" s="174"/>
      <c r="H180" s="174" t="s">
        <v>321</v>
      </c>
      <c r="I180" s="174"/>
      <c r="J180" s="174" t="s">
        <v>321</v>
      </c>
      <c r="K180" s="174" t="s">
        <v>321</v>
      </c>
      <c r="L180" s="174"/>
      <c r="M180" s="174" t="s">
        <v>321</v>
      </c>
      <c r="N180" s="169" t="s">
        <v>321</v>
      </c>
      <c r="O180" s="169" t="s">
        <v>321</v>
      </c>
      <c r="P180" s="169" t="s">
        <v>321</v>
      </c>
      <c r="Q180" s="169"/>
      <c r="R180" s="169"/>
      <c r="S180" s="169"/>
    </row>
    <row r="181" hidden="1">
      <c r="A181" s="175" t="s">
        <v>550</v>
      </c>
      <c r="B181" s="176" t="s">
        <v>551</v>
      </c>
      <c r="C181" s="177" t="s">
        <v>423</v>
      </c>
      <c r="D181" s="176"/>
      <c r="E181" s="176" t="s">
        <v>319</v>
      </c>
      <c r="F181" s="176" t="s">
        <v>326</v>
      </c>
      <c r="G181" s="174"/>
      <c r="H181" s="174" t="s">
        <v>321</v>
      </c>
      <c r="I181" s="174" t="s">
        <v>321</v>
      </c>
      <c r="J181" s="174"/>
      <c r="K181" s="174"/>
      <c r="L181" s="170"/>
      <c r="M181" s="170"/>
      <c r="N181" s="170"/>
      <c r="O181" s="170"/>
      <c r="P181" s="170"/>
      <c r="Q181" s="170"/>
      <c r="R181" s="170"/>
      <c r="S181" s="170"/>
    </row>
    <row r="182" hidden="1">
      <c r="A182" s="175" t="s">
        <v>364</v>
      </c>
      <c r="B182" s="176" t="s">
        <v>552</v>
      </c>
      <c r="C182" s="177" t="s">
        <v>101</v>
      </c>
      <c r="D182" s="176"/>
      <c r="E182" s="176" t="s">
        <v>319</v>
      </c>
      <c r="F182" s="176" t="s">
        <v>326</v>
      </c>
      <c r="G182" s="174"/>
      <c r="H182" s="174"/>
      <c r="I182" s="174" t="s">
        <v>321</v>
      </c>
      <c r="J182" s="174" t="s">
        <v>321</v>
      </c>
      <c r="K182" s="174" t="s">
        <v>321</v>
      </c>
      <c r="L182" s="169" t="s">
        <v>321</v>
      </c>
      <c r="M182" s="169" t="s">
        <v>321</v>
      </c>
      <c r="N182" s="169"/>
      <c r="O182" s="169"/>
      <c r="P182" s="169"/>
      <c r="Q182" s="169"/>
      <c r="R182" s="169"/>
      <c r="S182" s="169"/>
    </row>
    <row r="183" hidden="1">
      <c r="A183" s="166" t="s">
        <v>553</v>
      </c>
      <c r="B183" s="167" t="s">
        <v>348</v>
      </c>
      <c r="C183" s="167" t="s">
        <v>339</v>
      </c>
      <c r="D183" s="167"/>
      <c r="E183" s="167" t="s">
        <v>319</v>
      </c>
      <c r="F183" s="167" t="s">
        <v>326</v>
      </c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</row>
    <row r="184" hidden="1">
      <c r="A184" s="175" t="s">
        <v>421</v>
      </c>
      <c r="B184" s="176" t="s">
        <v>554</v>
      </c>
      <c r="C184" s="177" t="s">
        <v>423</v>
      </c>
      <c r="D184" s="176"/>
      <c r="E184" s="176" t="s">
        <v>319</v>
      </c>
      <c r="F184" s="176" t="s">
        <v>326</v>
      </c>
      <c r="G184" s="174"/>
      <c r="H184" s="174" t="s">
        <v>321</v>
      </c>
      <c r="I184" s="174"/>
      <c r="J184" s="174" t="s">
        <v>321</v>
      </c>
      <c r="K184" s="174" t="s">
        <v>321</v>
      </c>
      <c r="L184" s="174"/>
      <c r="M184" s="174" t="s">
        <v>321</v>
      </c>
      <c r="N184" s="169" t="s">
        <v>321</v>
      </c>
      <c r="O184" s="169" t="s">
        <v>321</v>
      </c>
      <c r="P184" s="169" t="s">
        <v>321</v>
      </c>
      <c r="Q184" s="169"/>
      <c r="R184" s="169"/>
      <c r="S184" s="169"/>
    </row>
    <row r="185" hidden="1">
      <c r="A185" s="175" t="s">
        <v>364</v>
      </c>
      <c r="B185" s="176" t="s">
        <v>555</v>
      </c>
      <c r="C185" s="177" t="s">
        <v>101</v>
      </c>
      <c r="D185" s="176"/>
      <c r="E185" s="176" t="s">
        <v>319</v>
      </c>
      <c r="F185" s="176" t="s">
        <v>326</v>
      </c>
      <c r="G185" s="174"/>
      <c r="H185" s="174"/>
      <c r="I185" s="174" t="s">
        <v>321</v>
      </c>
      <c r="J185" s="174" t="s">
        <v>321</v>
      </c>
      <c r="K185" s="174" t="s">
        <v>321</v>
      </c>
      <c r="L185" s="169" t="s">
        <v>321</v>
      </c>
      <c r="M185" s="169" t="s">
        <v>321</v>
      </c>
      <c r="N185" s="169"/>
      <c r="O185" s="169"/>
      <c r="P185" s="169"/>
      <c r="Q185" s="169"/>
      <c r="R185" s="169"/>
      <c r="S185" s="169"/>
    </row>
    <row r="186" hidden="1">
      <c r="A186" s="175" t="s">
        <v>364</v>
      </c>
      <c r="B186" s="176" t="s">
        <v>556</v>
      </c>
      <c r="C186" s="177" t="s">
        <v>101</v>
      </c>
      <c r="D186" s="176"/>
      <c r="E186" s="176" t="s">
        <v>319</v>
      </c>
      <c r="F186" s="176" t="s">
        <v>326</v>
      </c>
      <c r="G186" s="174"/>
      <c r="H186" s="174"/>
      <c r="I186" s="174" t="s">
        <v>321</v>
      </c>
      <c r="J186" s="174" t="s">
        <v>321</v>
      </c>
      <c r="K186" s="174" t="s">
        <v>321</v>
      </c>
      <c r="L186" s="169" t="s">
        <v>321</v>
      </c>
      <c r="M186" s="174" t="s">
        <v>321</v>
      </c>
      <c r="N186" s="169" t="s">
        <v>321</v>
      </c>
      <c r="O186" s="169" t="s">
        <v>321</v>
      </c>
      <c r="P186" s="169"/>
      <c r="Q186" s="169"/>
      <c r="R186" s="169"/>
      <c r="S186" s="169"/>
    </row>
    <row r="187" hidden="1">
      <c r="A187" s="175" t="s">
        <v>424</v>
      </c>
      <c r="B187" s="176" t="s">
        <v>557</v>
      </c>
      <c r="C187" s="177" t="s">
        <v>101</v>
      </c>
      <c r="D187" s="177" t="s">
        <v>171</v>
      </c>
      <c r="E187" s="176" t="s">
        <v>319</v>
      </c>
      <c r="F187" s="176" t="s">
        <v>324</v>
      </c>
      <c r="G187" s="174"/>
      <c r="H187" s="174" t="s">
        <v>321</v>
      </c>
      <c r="I187" s="174"/>
      <c r="J187" s="174" t="s">
        <v>321</v>
      </c>
      <c r="K187" s="174" t="s">
        <v>321</v>
      </c>
      <c r="L187" s="174" t="s">
        <v>321</v>
      </c>
      <c r="M187" s="174" t="s">
        <v>321</v>
      </c>
      <c r="N187" s="169" t="s">
        <v>321</v>
      </c>
      <c r="O187" s="169" t="s">
        <v>321</v>
      </c>
      <c r="P187" s="169"/>
      <c r="Q187" s="169"/>
      <c r="R187" s="169"/>
      <c r="S187" s="169"/>
    </row>
    <row r="188" hidden="1">
      <c r="A188" s="175" t="s">
        <v>419</v>
      </c>
      <c r="B188" s="176" t="s">
        <v>558</v>
      </c>
      <c r="C188" s="177" t="s">
        <v>208</v>
      </c>
      <c r="D188" s="176"/>
      <c r="E188" s="176" t="s">
        <v>319</v>
      </c>
      <c r="F188" s="176" t="s">
        <v>326</v>
      </c>
      <c r="G188" s="174"/>
      <c r="H188" s="174"/>
      <c r="I188" s="174" t="s">
        <v>321</v>
      </c>
      <c r="J188" s="174" t="s">
        <v>321</v>
      </c>
      <c r="K188" s="174" t="s">
        <v>321</v>
      </c>
      <c r="L188" s="170"/>
      <c r="M188" s="170"/>
      <c r="N188" s="170"/>
      <c r="O188" s="170"/>
      <c r="P188" s="170"/>
      <c r="Q188" s="170"/>
      <c r="R188" s="170"/>
      <c r="S188" s="170"/>
    </row>
    <row r="189" hidden="1">
      <c r="A189" s="175" t="s">
        <v>419</v>
      </c>
      <c r="B189" s="176" t="s">
        <v>559</v>
      </c>
      <c r="C189" s="177" t="s">
        <v>208</v>
      </c>
      <c r="D189" s="176"/>
      <c r="E189" s="176" t="s">
        <v>319</v>
      </c>
      <c r="F189" s="176" t="s">
        <v>326</v>
      </c>
      <c r="G189" s="174"/>
      <c r="H189" s="174"/>
      <c r="I189" s="174" t="s">
        <v>321</v>
      </c>
      <c r="J189" s="174" t="s">
        <v>321</v>
      </c>
      <c r="K189" s="174" t="s">
        <v>321</v>
      </c>
      <c r="L189" s="170"/>
      <c r="M189" s="170"/>
      <c r="N189" s="170"/>
      <c r="O189" s="170"/>
      <c r="P189" s="170"/>
      <c r="Q189" s="170"/>
      <c r="R189" s="170"/>
      <c r="S189" s="170"/>
    </row>
    <row r="190" hidden="1">
      <c r="A190" s="175" t="s">
        <v>419</v>
      </c>
      <c r="B190" s="176" t="s">
        <v>560</v>
      </c>
      <c r="C190" s="177" t="s">
        <v>208</v>
      </c>
      <c r="D190" s="177" t="s">
        <v>184</v>
      </c>
      <c r="E190" s="176" t="s">
        <v>319</v>
      </c>
      <c r="F190" s="176" t="s">
        <v>326</v>
      </c>
      <c r="G190" s="174"/>
      <c r="H190" s="174"/>
      <c r="I190" s="174" t="s">
        <v>321</v>
      </c>
      <c r="J190" s="174" t="s">
        <v>321</v>
      </c>
      <c r="K190" s="174" t="s">
        <v>321</v>
      </c>
      <c r="L190" s="170"/>
      <c r="M190" s="170"/>
      <c r="N190" s="170"/>
      <c r="O190" s="170"/>
      <c r="P190" s="170"/>
      <c r="Q190" s="170"/>
      <c r="R190" s="170"/>
      <c r="S190" s="170"/>
    </row>
    <row r="191" hidden="1">
      <c r="A191" s="175" t="s">
        <v>364</v>
      </c>
      <c r="B191" s="176" t="s">
        <v>561</v>
      </c>
      <c r="C191" s="177" t="s">
        <v>101</v>
      </c>
      <c r="D191" s="176"/>
      <c r="E191" s="176" t="s">
        <v>319</v>
      </c>
      <c r="F191" s="176" t="s">
        <v>320</v>
      </c>
      <c r="G191" s="174" t="s">
        <v>321</v>
      </c>
      <c r="H191" s="174" t="s">
        <v>321</v>
      </c>
      <c r="I191" s="174" t="s">
        <v>321</v>
      </c>
      <c r="J191" s="174" t="s">
        <v>321</v>
      </c>
      <c r="K191" s="174"/>
      <c r="L191" s="174" t="s">
        <v>321</v>
      </c>
      <c r="M191" s="169"/>
      <c r="N191" s="169"/>
      <c r="O191" s="169"/>
      <c r="P191" s="169"/>
      <c r="Q191" s="169"/>
      <c r="R191" s="169"/>
      <c r="S191" s="169"/>
    </row>
    <row r="192" hidden="1">
      <c r="A192" s="175" t="s">
        <v>450</v>
      </c>
      <c r="B192" s="176" t="s">
        <v>562</v>
      </c>
      <c r="C192" s="177" t="s">
        <v>101</v>
      </c>
      <c r="D192" s="176"/>
      <c r="E192" s="176" t="s">
        <v>319</v>
      </c>
      <c r="F192" s="176" t="s">
        <v>326</v>
      </c>
      <c r="G192" s="174"/>
      <c r="H192" s="174"/>
      <c r="I192" s="174" t="s">
        <v>321</v>
      </c>
      <c r="J192" s="174" t="s">
        <v>321</v>
      </c>
      <c r="K192" s="174" t="s">
        <v>321</v>
      </c>
      <c r="L192" s="169" t="s">
        <v>321</v>
      </c>
      <c r="M192" s="169"/>
      <c r="N192" s="169"/>
      <c r="O192" s="169"/>
      <c r="P192" s="169"/>
      <c r="Q192" s="169"/>
      <c r="R192" s="169"/>
      <c r="S192" s="169"/>
    </row>
    <row r="193">
      <c r="A193" s="175" t="s">
        <v>58</v>
      </c>
      <c r="B193" s="176" t="s">
        <v>563</v>
      </c>
      <c r="C193" s="177" t="s">
        <v>423</v>
      </c>
      <c r="D193" s="177" t="s">
        <v>74</v>
      </c>
      <c r="E193" s="176" t="s">
        <v>428</v>
      </c>
      <c r="F193" s="176" t="s">
        <v>326</v>
      </c>
      <c r="G193" s="174"/>
      <c r="H193" s="174"/>
      <c r="I193" s="174" t="s">
        <v>321</v>
      </c>
      <c r="J193" s="174" t="s">
        <v>321</v>
      </c>
      <c r="K193" s="174" t="s">
        <v>321</v>
      </c>
      <c r="L193" s="174" t="s">
        <v>321</v>
      </c>
      <c r="M193" s="174" t="s">
        <v>321</v>
      </c>
      <c r="N193" s="169" t="s">
        <v>321</v>
      </c>
      <c r="O193" s="169" t="s">
        <v>321</v>
      </c>
      <c r="P193" s="169"/>
      <c r="Q193" s="169" t="s">
        <v>321</v>
      </c>
      <c r="R193" s="169" t="s">
        <v>321</v>
      </c>
      <c r="S193" s="169" t="s">
        <v>321</v>
      </c>
    </row>
    <row r="194">
      <c r="A194" s="175" t="s">
        <v>58</v>
      </c>
      <c r="B194" s="176" t="s">
        <v>1005</v>
      </c>
      <c r="C194" s="177" t="s">
        <v>423</v>
      </c>
      <c r="D194" s="177" t="s">
        <v>74</v>
      </c>
      <c r="E194" s="176" t="s">
        <v>428</v>
      </c>
      <c r="F194" s="176" t="s">
        <v>326</v>
      </c>
      <c r="G194" s="174"/>
      <c r="H194" s="174"/>
      <c r="I194" s="174" t="s">
        <v>321</v>
      </c>
      <c r="J194" s="174" t="s">
        <v>321</v>
      </c>
      <c r="K194" s="174" t="s">
        <v>321</v>
      </c>
      <c r="L194" s="174" t="s">
        <v>321</v>
      </c>
      <c r="M194" s="174" t="s">
        <v>321</v>
      </c>
      <c r="N194" s="169" t="s">
        <v>321</v>
      </c>
      <c r="O194" s="169" t="s">
        <v>321</v>
      </c>
      <c r="P194" s="169"/>
      <c r="Q194" s="169" t="s">
        <v>321</v>
      </c>
      <c r="R194" s="169" t="s">
        <v>321</v>
      </c>
      <c r="S194" s="169" t="s">
        <v>321</v>
      </c>
    </row>
    <row r="195" hidden="1">
      <c r="A195" s="175" t="s">
        <v>421</v>
      </c>
      <c r="B195" s="176" t="s">
        <v>564</v>
      </c>
      <c r="C195" s="177" t="s">
        <v>423</v>
      </c>
      <c r="D195" s="176"/>
      <c r="E195" s="176" t="s">
        <v>319</v>
      </c>
      <c r="F195" s="176" t="s">
        <v>326</v>
      </c>
      <c r="G195" s="174"/>
      <c r="H195" s="174" t="s">
        <v>321</v>
      </c>
      <c r="I195" s="174"/>
      <c r="J195" s="174" t="s">
        <v>321</v>
      </c>
      <c r="K195" s="174" t="s">
        <v>321</v>
      </c>
      <c r="L195" s="174"/>
      <c r="M195" s="174" t="s">
        <v>321</v>
      </c>
      <c r="N195" s="169" t="s">
        <v>321</v>
      </c>
      <c r="O195" s="169" t="s">
        <v>321</v>
      </c>
      <c r="P195" s="169" t="s">
        <v>321</v>
      </c>
      <c r="Q195" s="169"/>
      <c r="R195" s="169"/>
      <c r="S195" s="169"/>
    </row>
    <row r="196" hidden="1">
      <c r="A196" s="175" t="s">
        <v>364</v>
      </c>
      <c r="B196" s="176" t="s">
        <v>565</v>
      </c>
      <c r="C196" s="177" t="s">
        <v>423</v>
      </c>
      <c r="D196" s="176"/>
      <c r="E196" s="176" t="s">
        <v>319</v>
      </c>
      <c r="F196" s="176" t="s">
        <v>326</v>
      </c>
      <c r="G196" s="174"/>
      <c r="H196" s="174" t="s">
        <v>321</v>
      </c>
      <c r="I196" s="174"/>
      <c r="J196" s="174" t="s">
        <v>321</v>
      </c>
      <c r="K196" s="174" t="s">
        <v>321</v>
      </c>
      <c r="L196" s="174" t="s">
        <v>321</v>
      </c>
      <c r="M196" s="174" t="s">
        <v>321</v>
      </c>
      <c r="N196" s="169"/>
      <c r="O196" s="169" t="s">
        <v>321</v>
      </c>
      <c r="P196" s="169"/>
      <c r="Q196" s="169"/>
      <c r="R196" s="169"/>
      <c r="S196" s="169"/>
    </row>
    <row r="197" hidden="1">
      <c r="A197" s="175" t="s">
        <v>419</v>
      </c>
      <c r="B197" s="176" t="s">
        <v>566</v>
      </c>
      <c r="C197" s="177" t="s">
        <v>208</v>
      </c>
      <c r="D197" s="176"/>
      <c r="E197" s="176" t="s">
        <v>319</v>
      </c>
      <c r="F197" s="176" t="s">
        <v>326</v>
      </c>
      <c r="G197" s="174" t="s">
        <v>321</v>
      </c>
      <c r="H197" s="174"/>
      <c r="I197" s="174" t="s">
        <v>321</v>
      </c>
      <c r="J197" s="174" t="s">
        <v>321</v>
      </c>
      <c r="K197" s="174" t="s">
        <v>321</v>
      </c>
      <c r="L197" s="174" t="s">
        <v>321</v>
      </c>
      <c r="M197" s="174" t="s">
        <v>321</v>
      </c>
      <c r="N197" s="169" t="s">
        <v>321</v>
      </c>
      <c r="O197" s="169" t="s">
        <v>321</v>
      </c>
      <c r="P197" s="169" t="s">
        <v>321</v>
      </c>
      <c r="Q197" s="169"/>
      <c r="R197" s="169"/>
      <c r="S197" s="169"/>
    </row>
    <row r="198" hidden="1">
      <c r="A198" s="175" t="s">
        <v>419</v>
      </c>
      <c r="B198" s="176" t="s">
        <v>567</v>
      </c>
      <c r="C198" s="177" t="s">
        <v>208</v>
      </c>
      <c r="D198" s="176"/>
      <c r="E198" s="176" t="s">
        <v>319</v>
      </c>
      <c r="F198" s="176" t="s">
        <v>326</v>
      </c>
      <c r="G198" s="174" t="s">
        <v>321</v>
      </c>
      <c r="H198" s="174"/>
      <c r="I198" s="174" t="s">
        <v>321</v>
      </c>
      <c r="J198" s="174" t="s">
        <v>321</v>
      </c>
      <c r="K198" s="174" t="s">
        <v>321</v>
      </c>
      <c r="L198" s="174" t="s">
        <v>321</v>
      </c>
      <c r="M198" s="174" t="s">
        <v>321</v>
      </c>
      <c r="N198" s="169" t="s">
        <v>321</v>
      </c>
      <c r="O198" s="169" t="s">
        <v>321</v>
      </c>
      <c r="P198" s="169" t="s">
        <v>321</v>
      </c>
      <c r="Q198" s="169"/>
      <c r="R198" s="169"/>
      <c r="S198" s="169"/>
    </row>
    <row r="199" hidden="1">
      <c r="A199" s="175" t="s">
        <v>492</v>
      </c>
      <c r="B199" s="176" t="s">
        <v>568</v>
      </c>
      <c r="C199" s="176" t="s">
        <v>341</v>
      </c>
      <c r="D199" s="176"/>
      <c r="E199" s="176" t="s">
        <v>319</v>
      </c>
      <c r="F199" s="176" t="s">
        <v>320</v>
      </c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</row>
    <row r="200" hidden="1">
      <c r="A200" s="175" t="s">
        <v>569</v>
      </c>
      <c r="B200" s="175" t="s">
        <v>570</v>
      </c>
      <c r="C200" s="176" t="s">
        <v>333</v>
      </c>
      <c r="D200" s="176"/>
      <c r="E200" s="176" t="s">
        <v>319</v>
      </c>
      <c r="F200" s="176" t="s">
        <v>320</v>
      </c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</row>
    <row r="201" hidden="1">
      <c r="A201" s="175" t="s">
        <v>569</v>
      </c>
      <c r="B201" s="176" t="s">
        <v>571</v>
      </c>
      <c r="C201" s="176" t="s">
        <v>333</v>
      </c>
      <c r="D201" s="176"/>
      <c r="E201" s="176" t="s">
        <v>319</v>
      </c>
      <c r="F201" s="176" t="s">
        <v>320</v>
      </c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</row>
    <row r="202" hidden="1">
      <c r="A202" s="175" t="s">
        <v>569</v>
      </c>
      <c r="B202" s="176" t="s">
        <v>572</v>
      </c>
      <c r="C202" s="176" t="s">
        <v>339</v>
      </c>
      <c r="D202" s="176"/>
      <c r="E202" s="176" t="s">
        <v>319</v>
      </c>
      <c r="F202" s="176" t="s">
        <v>324</v>
      </c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</row>
    <row r="203" hidden="1">
      <c r="A203" s="175" t="s">
        <v>407</v>
      </c>
      <c r="B203" s="176" t="s">
        <v>573</v>
      </c>
      <c r="C203" s="176" t="s">
        <v>333</v>
      </c>
      <c r="D203" s="176"/>
      <c r="E203" s="176" t="s">
        <v>319</v>
      </c>
      <c r="F203" s="176" t="s">
        <v>326</v>
      </c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</row>
    <row r="204" hidden="1">
      <c r="A204" s="175" t="s">
        <v>574</v>
      </c>
      <c r="B204" s="176" t="s">
        <v>575</v>
      </c>
      <c r="C204" s="176" t="s">
        <v>339</v>
      </c>
      <c r="D204" s="176"/>
      <c r="E204" s="176" t="s">
        <v>319</v>
      </c>
      <c r="F204" s="176" t="s">
        <v>326</v>
      </c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</row>
    <row r="205" hidden="1">
      <c r="A205" s="175" t="s">
        <v>574</v>
      </c>
      <c r="B205" s="176" t="s">
        <v>576</v>
      </c>
      <c r="C205" s="176" t="s">
        <v>339</v>
      </c>
      <c r="D205" s="176"/>
      <c r="E205" s="176" t="s">
        <v>319</v>
      </c>
      <c r="F205" s="176" t="s">
        <v>326</v>
      </c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</row>
    <row r="206">
      <c r="A206" s="175" t="s">
        <v>577</v>
      </c>
      <c r="B206" s="176" t="s">
        <v>1006</v>
      </c>
      <c r="C206" s="177" t="s">
        <v>208</v>
      </c>
      <c r="D206" s="177" t="s">
        <v>1007</v>
      </c>
      <c r="E206" s="176" t="s">
        <v>428</v>
      </c>
      <c r="F206" s="176" t="s">
        <v>326</v>
      </c>
      <c r="G206" s="174"/>
      <c r="H206" s="174"/>
      <c r="I206" s="174" t="s">
        <v>321</v>
      </c>
      <c r="J206" s="174" t="s">
        <v>321</v>
      </c>
      <c r="K206" s="174" t="s">
        <v>321</v>
      </c>
      <c r="L206" s="174" t="s">
        <v>321</v>
      </c>
      <c r="M206" s="174" t="s">
        <v>321</v>
      </c>
      <c r="N206" s="169" t="s">
        <v>321</v>
      </c>
      <c r="O206" s="169" t="s">
        <v>321</v>
      </c>
      <c r="P206" s="169" t="s">
        <v>321</v>
      </c>
      <c r="Q206" s="169" t="s">
        <v>321</v>
      </c>
      <c r="R206" s="169" t="s">
        <v>321</v>
      </c>
      <c r="S206" s="169" t="s">
        <v>321</v>
      </c>
    </row>
    <row r="207">
      <c r="A207" s="175" t="s">
        <v>577</v>
      </c>
      <c r="B207" s="176" t="s">
        <v>1008</v>
      </c>
      <c r="C207" s="177" t="s">
        <v>208</v>
      </c>
      <c r="D207" s="177" t="s">
        <v>1007</v>
      </c>
      <c r="E207" s="176" t="s">
        <v>428</v>
      </c>
      <c r="F207" s="176" t="s">
        <v>326</v>
      </c>
      <c r="G207" s="174"/>
      <c r="H207" s="174"/>
      <c r="I207" s="174" t="s">
        <v>321</v>
      </c>
      <c r="J207" s="174" t="s">
        <v>321</v>
      </c>
      <c r="K207" s="174" t="s">
        <v>321</v>
      </c>
      <c r="L207" s="174" t="s">
        <v>321</v>
      </c>
      <c r="M207" s="174" t="s">
        <v>321</v>
      </c>
      <c r="N207" s="169" t="s">
        <v>321</v>
      </c>
      <c r="O207" s="169" t="s">
        <v>321</v>
      </c>
      <c r="P207" s="169" t="s">
        <v>321</v>
      </c>
      <c r="Q207" s="169" t="s">
        <v>321</v>
      </c>
      <c r="R207" s="169" t="s">
        <v>321</v>
      </c>
      <c r="S207" s="169" t="s">
        <v>321</v>
      </c>
    </row>
    <row r="208" hidden="1">
      <c r="A208" s="175" t="s">
        <v>577</v>
      </c>
      <c r="B208" s="176" t="s">
        <v>579</v>
      </c>
      <c r="C208" s="177" t="s">
        <v>208</v>
      </c>
      <c r="D208" s="177" t="s">
        <v>184</v>
      </c>
      <c r="E208" s="176" t="s">
        <v>319</v>
      </c>
      <c r="F208" s="176" t="s">
        <v>326</v>
      </c>
      <c r="G208" s="174"/>
      <c r="H208" s="174"/>
      <c r="I208" s="174" t="s">
        <v>321</v>
      </c>
      <c r="J208" s="174" t="s">
        <v>321</v>
      </c>
      <c r="K208" s="174" t="s">
        <v>321</v>
      </c>
      <c r="L208" s="174" t="s">
        <v>321</v>
      </c>
      <c r="M208" s="174" t="s">
        <v>321</v>
      </c>
      <c r="N208" s="169" t="s">
        <v>321</v>
      </c>
      <c r="O208" s="169" t="s">
        <v>321</v>
      </c>
      <c r="P208" s="169" t="s">
        <v>321</v>
      </c>
      <c r="Q208" s="169" t="s">
        <v>321</v>
      </c>
      <c r="R208" s="169" t="s">
        <v>321</v>
      </c>
      <c r="S208" s="169" t="s">
        <v>321</v>
      </c>
    </row>
    <row r="209">
      <c r="A209" s="175" t="s">
        <v>577</v>
      </c>
      <c r="B209" s="176" t="s">
        <v>1009</v>
      </c>
      <c r="C209" s="177" t="s">
        <v>208</v>
      </c>
      <c r="D209" s="177" t="s">
        <v>184</v>
      </c>
      <c r="E209" s="176" t="s">
        <v>428</v>
      </c>
      <c r="F209" s="176" t="s">
        <v>326</v>
      </c>
      <c r="G209" s="174"/>
      <c r="H209" s="174"/>
      <c r="I209" s="174" t="s">
        <v>321</v>
      </c>
      <c r="J209" s="174" t="s">
        <v>321</v>
      </c>
      <c r="K209" s="174" t="s">
        <v>321</v>
      </c>
      <c r="L209" s="174" t="s">
        <v>321</v>
      </c>
      <c r="M209" s="174" t="s">
        <v>321</v>
      </c>
      <c r="N209" s="169" t="s">
        <v>321</v>
      </c>
      <c r="O209" s="169" t="s">
        <v>321</v>
      </c>
      <c r="P209" s="169" t="s">
        <v>321</v>
      </c>
      <c r="Q209" s="169" t="s">
        <v>321</v>
      </c>
      <c r="R209" s="169" t="s">
        <v>321</v>
      </c>
      <c r="S209" s="169" t="s">
        <v>321</v>
      </c>
    </row>
    <row r="210" hidden="1">
      <c r="A210" s="175" t="s">
        <v>577</v>
      </c>
      <c r="B210" s="176" t="s">
        <v>580</v>
      </c>
      <c r="C210" s="177" t="s">
        <v>208</v>
      </c>
      <c r="D210" s="176"/>
      <c r="E210" s="176" t="s">
        <v>319</v>
      </c>
      <c r="F210" s="176" t="s">
        <v>326</v>
      </c>
      <c r="G210" s="174"/>
      <c r="H210" s="174"/>
      <c r="I210" s="174" t="s">
        <v>321</v>
      </c>
      <c r="J210" s="174" t="s">
        <v>321</v>
      </c>
      <c r="K210" s="174" t="s">
        <v>321</v>
      </c>
      <c r="L210" s="174" t="s">
        <v>321</v>
      </c>
      <c r="M210" s="174" t="s">
        <v>321</v>
      </c>
      <c r="N210" s="169" t="s">
        <v>321</v>
      </c>
      <c r="O210" s="169" t="s">
        <v>321</v>
      </c>
      <c r="P210" s="169"/>
      <c r="Q210" s="169"/>
      <c r="R210" s="169"/>
      <c r="S210" s="169"/>
    </row>
    <row r="211" hidden="1">
      <c r="A211" s="175" t="s">
        <v>574</v>
      </c>
      <c r="B211" s="176" t="s">
        <v>581</v>
      </c>
      <c r="C211" s="176" t="s">
        <v>323</v>
      </c>
      <c r="D211" s="176"/>
      <c r="E211" s="176" t="s">
        <v>319</v>
      </c>
      <c r="F211" s="176" t="s">
        <v>326</v>
      </c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</row>
    <row r="212" hidden="1">
      <c r="A212" s="175" t="s">
        <v>574</v>
      </c>
      <c r="B212" s="176" t="s">
        <v>582</v>
      </c>
      <c r="C212" s="176" t="s">
        <v>341</v>
      </c>
      <c r="D212" s="176"/>
      <c r="E212" s="176" t="s">
        <v>319</v>
      </c>
      <c r="F212" s="176" t="s">
        <v>320</v>
      </c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</row>
    <row r="213" ht="14.25" hidden="1" customHeight="1">
      <c r="A213" s="175" t="s">
        <v>517</v>
      </c>
      <c r="B213" s="176" t="s">
        <v>583</v>
      </c>
      <c r="C213" s="176" t="s">
        <v>341</v>
      </c>
      <c r="D213" s="176"/>
      <c r="E213" s="176" t="s">
        <v>319</v>
      </c>
      <c r="F213" s="176" t="s">
        <v>324</v>
      </c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</row>
    <row r="214" hidden="1">
      <c r="A214" s="175" t="s">
        <v>521</v>
      </c>
      <c r="B214" s="176" t="s">
        <v>584</v>
      </c>
      <c r="C214" s="176" t="s">
        <v>341</v>
      </c>
      <c r="D214" s="176"/>
      <c r="E214" s="176" t="s">
        <v>319</v>
      </c>
      <c r="F214" s="176" t="s">
        <v>326</v>
      </c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</row>
    <row r="215" hidden="1">
      <c r="A215" s="175" t="s">
        <v>459</v>
      </c>
      <c r="B215" s="176" t="s">
        <v>585</v>
      </c>
      <c r="C215" s="176" t="s">
        <v>333</v>
      </c>
      <c r="D215" s="176"/>
      <c r="E215" s="176" t="s">
        <v>319</v>
      </c>
      <c r="F215" s="176" t="s">
        <v>320</v>
      </c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</row>
    <row r="216" hidden="1">
      <c r="A216" s="175" t="s">
        <v>513</v>
      </c>
      <c r="B216" s="176" t="s">
        <v>586</v>
      </c>
      <c r="C216" s="176" t="s">
        <v>341</v>
      </c>
      <c r="D216" s="176"/>
      <c r="E216" s="176" t="s">
        <v>319</v>
      </c>
      <c r="F216" s="176" t="s">
        <v>324</v>
      </c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</row>
    <row r="217" hidden="1">
      <c r="A217" s="175" t="s">
        <v>513</v>
      </c>
      <c r="B217" s="176" t="s">
        <v>587</v>
      </c>
      <c r="C217" s="176" t="s">
        <v>341</v>
      </c>
      <c r="D217" s="176"/>
      <c r="E217" s="176" t="s">
        <v>319</v>
      </c>
      <c r="F217" s="176" t="s">
        <v>324</v>
      </c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</row>
    <row r="218" hidden="1">
      <c r="A218" s="175" t="s">
        <v>521</v>
      </c>
      <c r="B218" s="176" t="s">
        <v>588</v>
      </c>
      <c r="C218" s="176" t="s">
        <v>341</v>
      </c>
      <c r="D218" s="176"/>
      <c r="E218" s="176" t="s">
        <v>319</v>
      </c>
      <c r="F218" s="176" t="s">
        <v>324</v>
      </c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</row>
  </sheetData>
  <autoFilter ref="$A$2:$S$218">
    <filterColumn colId="4">
      <filters>
        <filter val="Doing"/>
      </filters>
    </filterColumn>
  </autoFilter>
  <customSheetViews>
    <customSheetView guid="{5200034C-7E85-4B11-8545-8C4484E94FC4}" filter="1" showAutoFilter="1">
      <autoFilter ref="$A$2:$L$218"/>
    </customSheetView>
  </customSheetViews>
  <mergeCells count="5">
    <mergeCell ref="A1:B1"/>
    <mergeCell ref="G1:H1"/>
    <mergeCell ref="I1:K1"/>
    <mergeCell ref="M1:O1"/>
    <mergeCell ref="P1:R1"/>
  </mergeCells>
  <dataValidations>
    <dataValidation type="list" allowBlank="1" showErrorMessage="1" sqref="F3:F218">
      <formula1>"Alto,Médio,Baixo"</formula1>
    </dataValidation>
    <dataValidation type="list" allowBlank="1" showErrorMessage="1" sqref="E3:E218">
      <formula1>"TO DO,Doing,Done"</formula1>
    </dataValidation>
  </dataValidations>
  <hyperlinks>
    <hyperlink r:id="rId1" ref="C13"/>
    <hyperlink r:id="rId2" ref="C34"/>
    <hyperlink r:id="rId3" ref="C60"/>
    <hyperlink r:id="rId4" ref="C61"/>
    <hyperlink r:id="rId5" ref="C62"/>
    <hyperlink r:id="rId6" ref="C63"/>
    <hyperlink r:id="rId7" ref="C64"/>
    <hyperlink r:id="rId8" ref="C65"/>
    <hyperlink r:id="rId9" ref="C81"/>
    <hyperlink r:id="rId10" ref="C82"/>
    <hyperlink r:id="rId11" ref="C83"/>
    <hyperlink r:id="rId12" ref="C84"/>
    <hyperlink r:id="rId13" ref="D84"/>
    <hyperlink r:id="rId14" ref="C85"/>
    <hyperlink r:id="rId15" ref="C86"/>
    <hyperlink r:id="rId16" ref="D86"/>
    <hyperlink r:id="rId17" ref="C87"/>
    <hyperlink r:id="rId18" ref="C88"/>
    <hyperlink r:id="rId19" ref="C89"/>
    <hyperlink r:id="rId20" ref="C90"/>
    <hyperlink r:id="rId21" ref="C91"/>
    <hyperlink r:id="rId22" ref="C92"/>
    <hyperlink r:id="rId23" ref="C93"/>
    <hyperlink r:id="rId24" ref="C94"/>
    <hyperlink r:id="rId25" ref="C95"/>
    <hyperlink r:id="rId26" ref="C96"/>
    <hyperlink r:id="rId27" ref="C97"/>
    <hyperlink r:id="rId28" ref="C98"/>
    <hyperlink r:id="rId29" ref="C99"/>
    <hyperlink r:id="rId30" ref="D99"/>
    <hyperlink r:id="rId31" ref="C100"/>
    <hyperlink r:id="rId32" ref="D100"/>
    <hyperlink r:id="rId33" ref="C101"/>
    <hyperlink r:id="rId34" ref="C102"/>
    <hyperlink r:id="rId35" ref="C103"/>
    <hyperlink r:id="rId36" ref="C104"/>
    <hyperlink r:id="rId37" ref="C105"/>
    <hyperlink r:id="rId38" ref="C106"/>
    <hyperlink r:id="rId39" ref="D106"/>
    <hyperlink r:id="rId40" ref="C107"/>
    <hyperlink r:id="rId41" ref="D107"/>
    <hyperlink r:id="rId42" ref="C108"/>
    <hyperlink r:id="rId43" ref="D108"/>
    <hyperlink r:id="rId44" ref="C109"/>
    <hyperlink r:id="rId45" ref="D109"/>
    <hyperlink r:id="rId46" ref="C110"/>
    <hyperlink r:id="rId47" ref="D110"/>
    <hyperlink r:id="rId48" ref="C111"/>
    <hyperlink r:id="rId49" ref="D111"/>
    <hyperlink r:id="rId50" ref="C112"/>
    <hyperlink r:id="rId51" ref="D112"/>
    <hyperlink r:id="rId52" ref="C113"/>
    <hyperlink r:id="rId53" ref="C167"/>
    <hyperlink r:id="rId54" ref="C168"/>
    <hyperlink r:id="rId55" ref="C169"/>
    <hyperlink r:id="rId56" ref="C170"/>
    <hyperlink r:id="rId57" ref="C171"/>
    <hyperlink r:id="rId58" ref="C172"/>
    <hyperlink r:id="rId59" ref="C173"/>
    <hyperlink r:id="rId60" ref="D173"/>
    <hyperlink r:id="rId61" ref="C174"/>
    <hyperlink r:id="rId62" ref="D174"/>
    <hyperlink r:id="rId63" ref="C175"/>
    <hyperlink r:id="rId64" ref="C176"/>
    <hyperlink r:id="rId65" ref="C177"/>
    <hyperlink r:id="rId66" ref="C178"/>
    <hyperlink r:id="rId67" ref="C179"/>
    <hyperlink r:id="rId68" ref="D179"/>
    <hyperlink r:id="rId69" ref="C180"/>
    <hyperlink r:id="rId70" ref="C181"/>
    <hyperlink r:id="rId71" ref="C182"/>
    <hyperlink r:id="rId72" ref="C184"/>
    <hyperlink r:id="rId73" ref="C185"/>
    <hyperlink r:id="rId74" ref="C186"/>
    <hyperlink r:id="rId75" ref="C187"/>
    <hyperlink r:id="rId76" ref="D187"/>
    <hyperlink r:id="rId77" ref="C188"/>
    <hyperlink r:id="rId78" ref="C189"/>
    <hyperlink r:id="rId79" ref="C190"/>
    <hyperlink r:id="rId80" ref="D190"/>
    <hyperlink r:id="rId81" ref="C191"/>
    <hyperlink r:id="rId82" ref="C192"/>
    <hyperlink r:id="rId83" ref="C193"/>
    <hyperlink r:id="rId84" ref="D193"/>
    <hyperlink r:id="rId85" ref="C194"/>
    <hyperlink r:id="rId86" ref="D194"/>
    <hyperlink r:id="rId87" ref="C195"/>
    <hyperlink r:id="rId88" ref="C196"/>
    <hyperlink r:id="rId89" ref="C197"/>
    <hyperlink r:id="rId90" ref="C198"/>
    <hyperlink r:id="rId91" ref="C206"/>
    <hyperlink r:id="rId92" ref="D206"/>
    <hyperlink r:id="rId93" ref="C207"/>
    <hyperlink r:id="rId94" ref="D207"/>
    <hyperlink r:id="rId95" ref="C208"/>
    <hyperlink r:id="rId96" ref="D208"/>
    <hyperlink r:id="rId97" ref="C209"/>
    <hyperlink r:id="rId98" ref="D209"/>
    <hyperlink r:id="rId99" ref="C210"/>
  </hyperlinks>
  <drawing r:id="rId10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88"/>
    <col customWidth="1" min="2" max="2" width="3.38"/>
    <col customWidth="1" min="3" max="3" width="61.75"/>
    <col customWidth="1" min="4" max="4" width="16.25"/>
    <col customWidth="1" min="5" max="5" width="15.0"/>
    <col customWidth="1" min="6" max="6" width="18.25"/>
    <col customWidth="1" min="7" max="7" width="13.88"/>
    <col customWidth="1" min="8" max="8" width="12.63"/>
    <col customWidth="1" min="9" max="11" width="16.25"/>
  </cols>
  <sheetData>
    <row r="1">
      <c r="A1" s="390"/>
      <c r="B1" s="390"/>
      <c r="C1" s="391" t="s">
        <v>1010</v>
      </c>
      <c r="D1" s="392"/>
      <c r="E1" s="392"/>
      <c r="F1" s="392"/>
      <c r="G1" s="392"/>
      <c r="H1" s="392"/>
      <c r="I1" s="393" t="s">
        <v>1011</v>
      </c>
      <c r="J1" s="390"/>
      <c r="K1" s="393" t="s">
        <v>1012</v>
      </c>
    </row>
    <row r="2">
      <c r="A2" s="390"/>
      <c r="B2" s="390"/>
      <c r="C2" s="394"/>
      <c r="J2" s="390"/>
    </row>
    <row r="3">
      <c r="A3" s="395"/>
      <c r="B3" s="395"/>
      <c r="C3" s="394"/>
      <c r="J3" s="390"/>
    </row>
    <row r="4">
      <c r="A4" s="390"/>
      <c r="B4" s="390"/>
      <c r="C4" s="396"/>
      <c r="D4" s="397"/>
      <c r="E4" s="397"/>
      <c r="F4" s="397"/>
      <c r="G4" s="397"/>
      <c r="H4" s="397"/>
      <c r="J4" s="390"/>
    </row>
    <row r="5">
      <c r="A5" s="398"/>
      <c r="B5" s="398"/>
      <c r="C5" s="399" t="s">
        <v>1013</v>
      </c>
      <c r="D5" s="400" t="s">
        <v>1014</v>
      </c>
      <c r="E5" s="401" t="s">
        <v>1015</v>
      </c>
      <c r="F5" s="400" t="s">
        <v>309</v>
      </c>
      <c r="G5" s="400" t="s">
        <v>1016</v>
      </c>
      <c r="H5" s="400" t="s">
        <v>729</v>
      </c>
      <c r="I5" s="402" t="s">
        <v>1017</v>
      </c>
      <c r="J5" s="398" t="s">
        <v>876</v>
      </c>
      <c r="K5" s="398" t="s">
        <v>45</v>
      </c>
    </row>
    <row r="6" ht="15.75" customHeight="1">
      <c r="A6" s="403" t="s">
        <v>1018</v>
      </c>
      <c r="B6" s="404" t="s">
        <v>1019</v>
      </c>
      <c r="C6" s="405" t="s">
        <v>1020</v>
      </c>
      <c r="D6" s="406"/>
      <c r="E6" s="407"/>
      <c r="F6" s="408"/>
      <c r="G6" s="406"/>
      <c r="H6" s="406"/>
      <c r="I6" s="406"/>
      <c r="J6" s="406"/>
      <c r="K6" s="406"/>
    </row>
    <row r="7" ht="15.75" customHeight="1">
      <c r="C7" s="409" t="s">
        <v>1021</v>
      </c>
      <c r="D7" s="410"/>
      <c r="E7" s="411" t="s">
        <v>171</v>
      </c>
      <c r="F7" s="412" t="s">
        <v>1022</v>
      </c>
      <c r="G7" s="413">
        <v>46042.0</v>
      </c>
      <c r="H7" s="413">
        <v>46066.0</v>
      </c>
      <c r="I7" s="414"/>
      <c r="J7" s="414"/>
      <c r="K7" s="414"/>
    </row>
    <row r="8" ht="15.75" customHeight="1">
      <c r="C8" s="409" t="s">
        <v>1023</v>
      </c>
      <c r="D8" s="410"/>
      <c r="E8" s="411" t="s">
        <v>171</v>
      </c>
      <c r="F8" s="412" t="s">
        <v>1022</v>
      </c>
      <c r="G8" s="413">
        <v>46069.0</v>
      </c>
      <c r="H8" s="413">
        <v>46094.0</v>
      </c>
      <c r="I8" s="414"/>
      <c r="J8" s="414"/>
      <c r="K8" s="414"/>
    </row>
    <row r="9" ht="15.75" customHeight="1">
      <c r="C9" s="415" t="s">
        <v>1024</v>
      </c>
      <c r="D9" s="410"/>
      <c r="E9" s="416" t="s">
        <v>171</v>
      </c>
      <c r="F9" s="417" t="s">
        <v>1022</v>
      </c>
      <c r="G9" s="418">
        <v>46069.0</v>
      </c>
      <c r="H9" s="418">
        <v>46073.0</v>
      </c>
      <c r="I9" s="414"/>
      <c r="J9" s="414"/>
      <c r="K9" s="414"/>
    </row>
    <row r="10" ht="15.75" customHeight="1">
      <c r="C10" s="415" t="s">
        <v>1025</v>
      </c>
      <c r="D10" s="415" t="s">
        <v>1026</v>
      </c>
      <c r="E10" s="416" t="s">
        <v>171</v>
      </c>
      <c r="F10" s="419" t="s">
        <v>1027</v>
      </c>
      <c r="G10" s="418">
        <v>46069.0</v>
      </c>
      <c r="H10" s="418">
        <v>46073.0</v>
      </c>
      <c r="I10" s="414" t="s">
        <v>320</v>
      </c>
      <c r="J10" s="414" t="s">
        <v>1028</v>
      </c>
      <c r="K10" s="414" t="s">
        <v>320</v>
      </c>
    </row>
    <row r="11" ht="15.75" customHeight="1">
      <c r="C11" s="420" t="s">
        <v>1029</v>
      </c>
      <c r="D11" s="410"/>
      <c r="E11" s="416" t="s">
        <v>171</v>
      </c>
      <c r="F11" s="417" t="s">
        <v>1022</v>
      </c>
      <c r="G11" s="418">
        <v>46069.0</v>
      </c>
      <c r="H11" s="418">
        <v>46073.0</v>
      </c>
      <c r="I11" s="414"/>
      <c r="J11" s="414"/>
      <c r="K11" s="414"/>
    </row>
    <row r="12" ht="15.75" customHeight="1">
      <c r="C12" s="421" t="s">
        <v>1030</v>
      </c>
      <c r="D12" s="410"/>
      <c r="E12" s="411" t="s">
        <v>171</v>
      </c>
      <c r="F12" s="412" t="s">
        <v>1022</v>
      </c>
      <c r="G12" s="413">
        <v>46076.0</v>
      </c>
      <c r="H12" s="413">
        <v>46080.0</v>
      </c>
      <c r="I12" s="414"/>
      <c r="J12" s="414"/>
      <c r="K12" s="414"/>
    </row>
    <row r="13" ht="15.75" customHeight="1">
      <c r="C13" s="409" t="s">
        <v>1031</v>
      </c>
      <c r="D13" s="410"/>
      <c r="E13" s="411" t="s">
        <v>171</v>
      </c>
      <c r="F13" s="412" t="s">
        <v>691</v>
      </c>
      <c r="G13" s="413">
        <v>46113.0</v>
      </c>
      <c r="H13" s="413">
        <v>46129.0</v>
      </c>
      <c r="I13" s="414" t="s">
        <v>320</v>
      </c>
      <c r="J13" s="414" t="s">
        <v>1032</v>
      </c>
      <c r="K13" s="414" t="s">
        <v>324</v>
      </c>
    </row>
    <row r="14" ht="15.75" customHeight="1">
      <c r="C14" s="422" t="s">
        <v>1033</v>
      </c>
      <c r="D14" s="410"/>
      <c r="E14" s="411" t="s">
        <v>171</v>
      </c>
      <c r="F14" s="412" t="s">
        <v>691</v>
      </c>
      <c r="G14" s="413">
        <v>46113.0</v>
      </c>
      <c r="H14" s="413">
        <v>46129.0</v>
      </c>
      <c r="I14" s="414" t="s">
        <v>326</v>
      </c>
      <c r="J14" s="414" t="s">
        <v>1034</v>
      </c>
      <c r="K14" s="414" t="s">
        <v>324</v>
      </c>
    </row>
    <row r="15" ht="15.75" customHeight="1">
      <c r="C15" s="409" t="s">
        <v>1035</v>
      </c>
      <c r="D15" s="410"/>
      <c r="E15" s="411" t="s">
        <v>171</v>
      </c>
      <c r="F15" s="412" t="s">
        <v>1022</v>
      </c>
      <c r="G15" s="413">
        <v>46097.0</v>
      </c>
      <c r="H15" s="413">
        <v>46112.0</v>
      </c>
      <c r="I15" s="414"/>
      <c r="J15" s="414"/>
      <c r="K15" s="414"/>
    </row>
    <row r="16" ht="15.75" customHeight="1">
      <c r="C16" s="409" t="s">
        <v>1036</v>
      </c>
      <c r="D16" s="410"/>
      <c r="E16" s="411" t="s">
        <v>171</v>
      </c>
      <c r="F16" s="412" t="s">
        <v>1022</v>
      </c>
      <c r="G16" s="413">
        <v>46097.0</v>
      </c>
      <c r="H16" s="413">
        <v>46112.0</v>
      </c>
      <c r="I16" s="423"/>
      <c r="J16" s="414"/>
      <c r="K16" s="414"/>
    </row>
    <row r="17" ht="15.75" customHeight="1">
      <c r="C17" s="409"/>
      <c r="D17" s="410"/>
      <c r="E17" s="424"/>
      <c r="F17" s="412"/>
      <c r="G17" s="425"/>
      <c r="H17" s="425"/>
      <c r="I17" s="423"/>
      <c r="J17" s="414"/>
      <c r="K17" s="414"/>
    </row>
    <row r="18" ht="15.75" customHeight="1">
      <c r="A18" s="426" t="s">
        <v>1037</v>
      </c>
      <c r="B18" s="427" t="s">
        <v>419</v>
      </c>
      <c r="C18" s="405" t="s">
        <v>1038</v>
      </c>
      <c r="D18" s="406"/>
      <c r="E18" s="407"/>
      <c r="F18" s="408"/>
      <c r="G18" s="406"/>
      <c r="H18" s="406"/>
      <c r="I18" s="428"/>
      <c r="J18" s="428"/>
      <c r="K18" s="428"/>
    </row>
    <row r="19" ht="15.75" customHeight="1">
      <c r="A19" s="429"/>
      <c r="B19" s="429"/>
      <c r="C19" s="409" t="s">
        <v>1039</v>
      </c>
      <c r="D19" s="430" t="s">
        <v>1040</v>
      </c>
      <c r="E19" s="411" t="s">
        <v>171</v>
      </c>
      <c r="F19" s="412" t="s">
        <v>691</v>
      </c>
      <c r="G19" s="413">
        <v>46113.0</v>
      </c>
      <c r="H19" s="413">
        <v>46122.0</v>
      </c>
      <c r="I19" s="414" t="s">
        <v>326</v>
      </c>
      <c r="J19" s="414" t="s">
        <v>1041</v>
      </c>
      <c r="K19" s="414" t="s">
        <v>324</v>
      </c>
    </row>
    <row r="20" ht="15.75" customHeight="1">
      <c r="A20" s="429"/>
      <c r="B20" s="429"/>
      <c r="C20" s="409" t="s">
        <v>1042</v>
      </c>
      <c r="D20" s="430" t="s">
        <v>1040</v>
      </c>
      <c r="E20" s="411" t="s">
        <v>171</v>
      </c>
      <c r="F20" s="412" t="s">
        <v>1043</v>
      </c>
      <c r="G20" s="413">
        <v>46113.0</v>
      </c>
      <c r="H20" s="413">
        <v>46129.0</v>
      </c>
      <c r="I20" s="414" t="s">
        <v>326</v>
      </c>
      <c r="J20" s="414" t="s">
        <v>1044</v>
      </c>
      <c r="K20" s="414" t="s">
        <v>326</v>
      </c>
    </row>
    <row r="21" ht="15.75" customHeight="1">
      <c r="A21" s="429"/>
      <c r="B21" s="429"/>
      <c r="C21" s="409" t="s">
        <v>1045</v>
      </c>
      <c r="D21" s="430" t="s">
        <v>1046</v>
      </c>
      <c r="E21" s="411" t="s">
        <v>171</v>
      </c>
      <c r="F21" s="412" t="s">
        <v>1043</v>
      </c>
      <c r="G21" s="414" t="s">
        <v>12</v>
      </c>
      <c r="H21" s="414" t="s">
        <v>12</v>
      </c>
      <c r="I21" s="414" t="s">
        <v>326</v>
      </c>
      <c r="J21" s="414" t="s">
        <v>1047</v>
      </c>
      <c r="K21" s="414" t="s">
        <v>326</v>
      </c>
    </row>
    <row r="22" ht="15.75" customHeight="1">
      <c r="A22" s="429"/>
      <c r="B22" s="429"/>
      <c r="C22" s="409" t="s">
        <v>1048</v>
      </c>
      <c r="D22" s="430" t="s">
        <v>1040</v>
      </c>
      <c r="E22" s="411" t="s">
        <v>171</v>
      </c>
      <c r="F22" s="412" t="s">
        <v>1043</v>
      </c>
      <c r="G22" s="414" t="s">
        <v>12</v>
      </c>
      <c r="H22" s="414" t="s">
        <v>12</v>
      </c>
      <c r="I22" s="414" t="s">
        <v>326</v>
      </c>
      <c r="J22" s="414" t="s">
        <v>1049</v>
      </c>
      <c r="K22" s="414" t="s">
        <v>326</v>
      </c>
    </row>
    <row r="23" ht="15.75" customHeight="1">
      <c r="A23" s="429"/>
      <c r="B23" s="429"/>
      <c r="C23" s="422"/>
      <c r="D23" s="430"/>
      <c r="E23" s="411" t="s">
        <v>171</v>
      </c>
      <c r="F23" s="412" t="s">
        <v>1043</v>
      </c>
      <c r="G23" s="414" t="s">
        <v>12</v>
      </c>
      <c r="H23" s="414" t="s">
        <v>12</v>
      </c>
      <c r="I23" s="414"/>
      <c r="J23" s="414"/>
      <c r="K23" s="414"/>
    </row>
    <row r="24" ht="15.75" customHeight="1">
      <c r="A24" s="429"/>
      <c r="B24" s="429"/>
      <c r="C24" s="409"/>
      <c r="D24" s="430"/>
      <c r="E24" s="411" t="s">
        <v>171</v>
      </c>
      <c r="F24" s="412" t="s">
        <v>1043</v>
      </c>
      <c r="G24" s="414" t="s">
        <v>12</v>
      </c>
      <c r="H24" s="414" t="s">
        <v>12</v>
      </c>
      <c r="I24" s="414"/>
      <c r="J24" s="414"/>
      <c r="K24" s="414"/>
    </row>
    <row r="25" ht="15.75" customHeight="1">
      <c r="A25" s="431"/>
      <c r="B25" s="431"/>
      <c r="C25" s="409"/>
      <c r="D25" s="430"/>
      <c r="E25" s="411" t="s">
        <v>171</v>
      </c>
      <c r="F25" s="412" t="s">
        <v>1043</v>
      </c>
      <c r="G25" s="414" t="s">
        <v>12</v>
      </c>
      <c r="H25" s="414" t="s">
        <v>12</v>
      </c>
      <c r="I25" s="414"/>
      <c r="J25" s="414"/>
      <c r="K25" s="414"/>
    </row>
    <row r="26" ht="15.75" customHeight="1">
      <c r="A26" s="426" t="s">
        <v>1050</v>
      </c>
      <c r="B26" s="432" t="s">
        <v>1051</v>
      </c>
      <c r="C26" s="405" t="s">
        <v>1052</v>
      </c>
      <c r="D26" s="433"/>
      <c r="E26" s="407"/>
      <c r="F26" s="434"/>
      <c r="G26" s="433"/>
      <c r="H26" s="433"/>
      <c r="I26" s="435"/>
      <c r="J26" s="428"/>
      <c r="K26" s="428"/>
    </row>
    <row r="27" ht="15.75" customHeight="1">
      <c r="A27" s="429"/>
      <c r="B27" s="429"/>
      <c r="C27" s="436" t="s">
        <v>1053</v>
      </c>
      <c r="D27" s="430"/>
      <c r="E27" s="411" t="s">
        <v>171</v>
      </c>
      <c r="F27" s="412" t="s">
        <v>1022</v>
      </c>
      <c r="G27" s="413">
        <v>46111.0</v>
      </c>
      <c r="H27" s="413">
        <v>46120.0</v>
      </c>
      <c r="I27" s="414"/>
      <c r="J27" s="414"/>
      <c r="K27" s="414"/>
    </row>
    <row r="28" ht="27.0" customHeight="1">
      <c r="A28" s="429"/>
      <c r="B28" s="429"/>
      <c r="C28" s="422" t="s">
        <v>1054</v>
      </c>
      <c r="D28" s="430"/>
      <c r="E28" s="411" t="s">
        <v>171</v>
      </c>
      <c r="F28" s="412" t="s">
        <v>691</v>
      </c>
      <c r="G28" s="413">
        <v>46111.0</v>
      </c>
      <c r="H28" s="413">
        <v>46120.0</v>
      </c>
      <c r="I28" s="414"/>
      <c r="J28" s="414"/>
      <c r="K28" s="414"/>
    </row>
    <row r="29" ht="27.0" customHeight="1">
      <c r="A29" s="429"/>
      <c r="B29" s="429"/>
      <c r="C29" s="422" t="s">
        <v>1055</v>
      </c>
      <c r="D29" s="430"/>
      <c r="E29" s="411" t="s">
        <v>1056</v>
      </c>
      <c r="F29" s="412" t="s">
        <v>691</v>
      </c>
      <c r="G29" s="413">
        <v>46111.0</v>
      </c>
      <c r="H29" s="413">
        <v>46120.0</v>
      </c>
      <c r="I29" s="414"/>
      <c r="J29" s="414"/>
      <c r="K29" s="414"/>
    </row>
    <row r="30" ht="15.75" customHeight="1">
      <c r="A30" s="429"/>
      <c r="B30" s="429"/>
      <c r="C30" s="422" t="s">
        <v>1057</v>
      </c>
      <c r="D30" s="430"/>
      <c r="E30" s="411" t="s">
        <v>208</v>
      </c>
      <c r="F30" s="412" t="s">
        <v>691</v>
      </c>
      <c r="G30" s="413">
        <v>46118.0</v>
      </c>
      <c r="H30" s="413">
        <v>46122.0</v>
      </c>
      <c r="I30" s="414" t="s">
        <v>324</v>
      </c>
      <c r="J30" s="414" t="s">
        <v>1058</v>
      </c>
      <c r="K30" s="414" t="s">
        <v>324</v>
      </c>
    </row>
    <row r="31" ht="15.75" customHeight="1">
      <c r="A31" s="429"/>
      <c r="B31" s="429"/>
      <c r="C31" s="437" t="s">
        <v>1059</v>
      </c>
      <c r="D31" s="430"/>
      <c r="E31" s="411" t="s">
        <v>208</v>
      </c>
      <c r="F31" s="412" t="s">
        <v>1043</v>
      </c>
      <c r="G31" s="413">
        <v>46125.0</v>
      </c>
      <c r="H31" s="413">
        <v>46136.0</v>
      </c>
      <c r="I31" s="414"/>
      <c r="J31" s="414"/>
      <c r="K31" s="414"/>
    </row>
    <row r="32" ht="15.75" customHeight="1">
      <c r="A32" s="431"/>
      <c r="B32" s="431"/>
      <c r="C32" s="437" t="s">
        <v>1060</v>
      </c>
      <c r="D32" s="430"/>
      <c r="E32" s="411" t="s">
        <v>208</v>
      </c>
      <c r="F32" s="412" t="s">
        <v>1043</v>
      </c>
      <c r="G32" s="413">
        <v>46125.0</v>
      </c>
      <c r="H32" s="413">
        <v>46136.0</v>
      </c>
      <c r="I32" s="414"/>
      <c r="J32" s="414"/>
      <c r="K32" s="414"/>
    </row>
    <row r="33" ht="15.75" customHeight="1">
      <c r="A33" s="426" t="s">
        <v>1061</v>
      </c>
      <c r="B33" s="438" t="s">
        <v>1062</v>
      </c>
      <c r="C33" s="439" t="s">
        <v>1063</v>
      </c>
      <c r="D33" s="406"/>
      <c r="E33" s="440"/>
      <c r="F33" s="441"/>
      <c r="G33" s="406"/>
      <c r="H33" s="406"/>
      <c r="I33" s="428"/>
      <c r="J33" s="428"/>
      <c r="K33" s="428"/>
    </row>
    <row r="34">
      <c r="A34" s="429"/>
      <c r="C34" s="409" t="s">
        <v>1064</v>
      </c>
      <c r="D34" s="442"/>
      <c r="E34" s="411" t="s">
        <v>171</v>
      </c>
      <c r="F34" s="412" t="s">
        <v>1043</v>
      </c>
      <c r="G34" s="413">
        <v>46129.0</v>
      </c>
      <c r="H34" s="413">
        <v>46129.0</v>
      </c>
      <c r="I34" s="414"/>
      <c r="J34" s="414"/>
      <c r="K34" s="414"/>
    </row>
    <row r="35" ht="15.75" customHeight="1">
      <c r="A35" s="429"/>
      <c r="C35" s="409" t="s">
        <v>1065</v>
      </c>
      <c r="D35" s="442"/>
      <c r="E35" s="411" t="s">
        <v>171</v>
      </c>
      <c r="F35" s="412" t="s">
        <v>1043</v>
      </c>
      <c r="G35" s="413">
        <v>46134.0</v>
      </c>
      <c r="H35" s="413">
        <v>46139.0</v>
      </c>
      <c r="I35" s="414" t="s">
        <v>320</v>
      </c>
      <c r="J35" s="414" t="s">
        <v>1066</v>
      </c>
      <c r="K35" s="414" t="s">
        <v>320</v>
      </c>
    </row>
    <row r="36" ht="15.75" customHeight="1">
      <c r="A36" s="429"/>
      <c r="C36" s="409" t="s">
        <v>1067</v>
      </c>
      <c r="D36" s="442"/>
      <c r="E36" s="411" t="s">
        <v>171</v>
      </c>
      <c r="F36" s="412" t="s">
        <v>1043</v>
      </c>
      <c r="G36" s="413">
        <v>46125.0</v>
      </c>
      <c r="H36" s="413">
        <v>46129.0</v>
      </c>
      <c r="I36" s="414" t="s">
        <v>326</v>
      </c>
      <c r="J36" s="414" t="s">
        <v>1068</v>
      </c>
      <c r="K36" s="414" t="s">
        <v>326</v>
      </c>
    </row>
    <row r="37" ht="29.25" customHeight="1">
      <c r="A37" s="429"/>
      <c r="C37" s="409" t="s">
        <v>1069</v>
      </c>
      <c r="D37" s="442"/>
      <c r="E37" s="411" t="s">
        <v>1070</v>
      </c>
      <c r="F37" s="412" t="s">
        <v>1022</v>
      </c>
      <c r="G37" s="413">
        <v>46121.0</v>
      </c>
      <c r="H37" s="413">
        <v>46121.0</v>
      </c>
      <c r="I37" s="414"/>
      <c r="J37" s="414"/>
      <c r="K37" s="414"/>
    </row>
    <row r="38" ht="15.75" customHeight="1">
      <c r="A38" s="429"/>
      <c r="C38" s="409" t="s">
        <v>1071</v>
      </c>
      <c r="D38" s="442"/>
      <c r="E38" s="411" t="s">
        <v>171</v>
      </c>
      <c r="F38" s="412" t="s">
        <v>1043</v>
      </c>
      <c r="G38" s="413">
        <v>46143.0</v>
      </c>
      <c r="H38" s="413">
        <v>46143.0</v>
      </c>
      <c r="I38" s="414"/>
      <c r="J38" s="414"/>
      <c r="K38" s="414"/>
    </row>
    <row r="39" ht="15.75" customHeight="1">
      <c r="A39" s="429"/>
      <c r="C39" s="409" t="s">
        <v>1072</v>
      </c>
      <c r="D39" s="442"/>
      <c r="E39" s="411" t="s">
        <v>171</v>
      </c>
      <c r="F39" s="412" t="s">
        <v>1043</v>
      </c>
      <c r="G39" s="413">
        <v>46143.0</v>
      </c>
      <c r="H39" s="413">
        <v>46184.0</v>
      </c>
      <c r="I39" s="414"/>
      <c r="J39" s="414"/>
      <c r="K39" s="414"/>
    </row>
    <row r="40" ht="15.75" customHeight="1">
      <c r="A40" s="429"/>
      <c r="C40" s="409" t="s">
        <v>1073</v>
      </c>
      <c r="D40" s="442"/>
      <c r="E40" s="411" t="s">
        <v>171</v>
      </c>
      <c r="F40" s="412" t="s">
        <v>1043</v>
      </c>
      <c r="G40" s="413">
        <v>46104.0</v>
      </c>
      <c r="H40" s="413">
        <v>46139.0</v>
      </c>
      <c r="I40" s="414" t="s">
        <v>324</v>
      </c>
      <c r="J40" s="414" t="s">
        <v>1074</v>
      </c>
      <c r="K40" s="414" t="s">
        <v>324</v>
      </c>
    </row>
    <row r="41" ht="15.75" customHeight="1">
      <c r="A41" s="429"/>
      <c r="C41" s="409"/>
      <c r="D41" s="430"/>
      <c r="E41" s="424"/>
      <c r="F41" s="412"/>
      <c r="G41" s="430"/>
      <c r="H41" s="430"/>
      <c r="I41" s="414"/>
      <c r="J41" s="414"/>
      <c r="K41" s="414"/>
    </row>
    <row r="42" ht="15.75" customHeight="1">
      <c r="A42" s="431"/>
      <c r="C42" s="409"/>
      <c r="D42" s="430"/>
      <c r="E42" s="424"/>
      <c r="F42" s="412"/>
      <c r="G42" s="430"/>
      <c r="H42" s="430"/>
      <c r="I42" s="414"/>
      <c r="J42" s="414"/>
      <c r="K42" s="414"/>
    </row>
    <row r="43" ht="15.75" hidden="1" customHeight="1">
      <c r="A43" s="426" t="s">
        <v>1075</v>
      </c>
      <c r="B43" s="443"/>
      <c r="C43" s="439"/>
      <c r="D43" s="406"/>
      <c r="E43" s="440"/>
      <c r="F43" s="441"/>
      <c r="G43" s="406"/>
      <c r="H43" s="406"/>
      <c r="I43" s="428"/>
      <c r="J43" s="428"/>
      <c r="K43" s="428"/>
    </row>
    <row r="44" ht="15.75" hidden="1" customHeight="1">
      <c r="A44" s="429"/>
      <c r="B44" s="429"/>
      <c r="C44" s="409"/>
      <c r="D44" s="430"/>
      <c r="E44" s="424"/>
      <c r="F44" s="412"/>
      <c r="G44" s="430"/>
      <c r="H44" s="430"/>
      <c r="I44" s="414"/>
      <c r="J44" s="414"/>
      <c r="K44" s="414"/>
    </row>
    <row r="45" ht="15.75" hidden="1" customHeight="1">
      <c r="A45" s="429"/>
      <c r="B45" s="429"/>
      <c r="C45" s="409"/>
      <c r="D45" s="430"/>
      <c r="E45" s="424"/>
      <c r="F45" s="412"/>
      <c r="G45" s="430"/>
      <c r="H45" s="430"/>
      <c r="I45" s="414"/>
      <c r="J45" s="414"/>
      <c r="K45" s="414"/>
    </row>
    <row r="46" ht="15.75" hidden="1" customHeight="1">
      <c r="A46" s="429"/>
      <c r="B46" s="429"/>
      <c r="C46" s="409"/>
      <c r="D46" s="430"/>
      <c r="E46" s="424"/>
      <c r="F46" s="412"/>
      <c r="G46" s="430"/>
      <c r="H46" s="430"/>
      <c r="I46" s="414"/>
      <c r="J46" s="414"/>
      <c r="K46" s="414"/>
    </row>
    <row r="47" ht="15.75" hidden="1" customHeight="1">
      <c r="A47" s="429"/>
      <c r="B47" s="429"/>
      <c r="C47" s="409"/>
      <c r="D47" s="430"/>
      <c r="E47" s="424"/>
      <c r="F47" s="412"/>
      <c r="G47" s="430"/>
      <c r="H47" s="430"/>
      <c r="I47" s="414"/>
      <c r="J47" s="414"/>
      <c r="K47" s="414"/>
    </row>
    <row r="48" ht="15.75" hidden="1" customHeight="1">
      <c r="A48" s="429"/>
      <c r="B48" s="429"/>
      <c r="C48" s="409"/>
      <c r="D48" s="430"/>
      <c r="E48" s="424"/>
      <c r="F48" s="412"/>
      <c r="G48" s="430"/>
      <c r="H48" s="430"/>
      <c r="I48" s="414"/>
      <c r="J48" s="414"/>
      <c r="K48" s="414"/>
    </row>
    <row r="49" ht="15.75" hidden="1" customHeight="1">
      <c r="A49" s="429"/>
      <c r="B49" s="429"/>
      <c r="C49" s="409"/>
      <c r="D49" s="430"/>
      <c r="E49" s="424"/>
      <c r="F49" s="412"/>
      <c r="G49" s="430"/>
      <c r="H49" s="430"/>
      <c r="I49" s="414"/>
      <c r="J49" s="414"/>
      <c r="K49" s="414"/>
    </row>
    <row r="50" ht="15.75" hidden="1" customHeight="1">
      <c r="A50" s="429"/>
      <c r="B50" s="431"/>
      <c r="C50" s="421"/>
      <c r="D50" s="430"/>
      <c r="E50" s="444"/>
      <c r="F50" s="412"/>
      <c r="G50" s="430"/>
      <c r="H50" s="430"/>
      <c r="I50" s="414"/>
      <c r="J50" s="414"/>
      <c r="K50" s="414"/>
    </row>
  </sheetData>
  <mergeCells count="13">
    <mergeCell ref="A26:A32"/>
    <mergeCell ref="B26:B32"/>
    <mergeCell ref="A33:A42"/>
    <mergeCell ref="B33:B42"/>
    <mergeCell ref="A43:A50"/>
    <mergeCell ref="B43:B50"/>
    <mergeCell ref="C1:H4"/>
    <mergeCell ref="I1:I4"/>
    <mergeCell ref="K1:K4"/>
    <mergeCell ref="A6:A17"/>
    <mergeCell ref="B6:B17"/>
    <mergeCell ref="A18:A25"/>
    <mergeCell ref="B18:B25"/>
  </mergeCells>
  <conditionalFormatting sqref="I7:I50">
    <cfRule type="containsText" dxfId="8" priority="1" operator="containsText" text="Médio">
      <formula>NOT(ISERROR(SEARCH(("Médio"),(I7))))</formula>
    </cfRule>
  </conditionalFormatting>
  <conditionalFormatting sqref="I7:I50">
    <cfRule type="containsText" dxfId="9" priority="2" operator="containsText" text="Alto">
      <formula>NOT(ISERROR(SEARCH(("Alto"),(I7))))</formula>
    </cfRule>
  </conditionalFormatting>
  <conditionalFormatting sqref="I7:I50">
    <cfRule type="containsText" dxfId="10" priority="3" operator="containsText" text="Baixo">
      <formula>NOT(ISERROR(SEARCH(("Baixo"),(I7))))</formula>
    </cfRule>
  </conditionalFormatting>
  <conditionalFormatting sqref="K7:K50">
    <cfRule type="containsText" dxfId="9" priority="4" operator="containsText" text="Alto">
      <formula>NOT(ISERROR(SEARCH(("Alto"),(K7))))</formula>
    </cfRule>
  </conditionalFormatting>
  <conditionalFormatting sqref="K7:K50">
    <cfRule type="containsText" dxfId="10" priority="5" operator="containsText" text="Baixo">
      <formula>NOT(ISERROR(SEARCH(("Baixo"),(K7))))</formula>
    </cfRule>
  </conditionalFormatting>
  <conditionalFormatting sqref="K7:K50">
    <cfRule type="containsText" dxfId="8" priority="6" operator="containsText" text="Médio">
      <formula>NOT(ISERROR(SEARCH(("Médio"),(K7))))</formula>
    </cfRule>
  </conditionalFormatting>
  <dataValidations>
    <dataValidation type="list" allowBlank="1" showErrorMessage="1" sqref="F7:F17 F19:F25 F27:F32 F34:F42 F44:F50">
      <formula1>"Finalizado,Em andamento,Pendente,Testes,Agendado,Cancelado,Planejado"</formula1>
    </dataValidation>
  </dataValidations>
  <hyperlinks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  <hyperlink r:id="rId21" ref="E27"/>
    <hyperlink r:id="rId22" ref="E28"/>
    <hyperlink r:id="rId23" ref="E29"/>
    <hyperlink r:id="rId24" ref="E30"/>
    <hyperlink r:id="rId25" ref="E31"/>
    <hyperlink r:id="rId26" ref="E32"/>
    <hyperlink r:id="rId27" ref="E34"/>
    <hyperlink r:id="rId28" ref="E35"/>
    <hyperlink r:id="rId29" ref="E36"/>
    <hyperlink r:id="rId30" ref="E37"/>
    <hyperlink r:id="rId31" ref="E38"/>
    <hyperlink r:id="rId32" ref="E39"/>
    <hyperlink r:id="rId33" ref="E40"/>
  </hyperlinks>
  <drawing r:id="rId34"/>
  <legacyDrawing r:id="rId35"/>
</worksheet>
</file>